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emcorgroup-my.sharepoint.com/personal/slake_ikmbuildingsolutions_com/Documents/Desktop/~ Special Projects ~/PMA Estimate Doc-- Add Formulas for automatically update/"/>
    </mc:Choice>
  </mc:AlternateContent>
  <xr:revisionPtr revIDLastSave="1810" documentId="8_{2E6B93DE-7BF3-4EAE-9379-516F235B830A}" xr6:coauthVersionLast="47" xr6:coauthVersionMax="47" xr10:uidLastSave="{CCC7C49A-EA34-4508-9204-F862A0DE4136}"/>
  <bookViews>
    <workbookView xWindow="-120" yWindow="-120" windowWidth="29040" windowHeight="15720" tabRatio="814" activeTab="6" xr2:uid="{00000000-000D-0000-FFFF-FFFF00000000}"/>
  </bookViews>
  <sheets>
    <sheet name="BOOKING FORM INSTRUCTIONS" sheetId="27" r:id="rId1"/>
    <sheet name="SINGLE YEAR BOOKING SHEET" sheetId="26" r:id="rId2"/>
    <sheet name="MULTI YEAR BOOKING SHEET" sheetId="25" r:id="rId3"/>
    <sheet name="BOOKING FORM" sheetId="21" state="hidden" r:id="rId4"/>
    <sheet name="ESTIMATE INSTRUCTIONS" sheetId="23" r:id="rId5"/>
    <sheet name="HIDE - LABOR RATES" sheetId="32" state="hidden" r:id="rId6"/>
    <sheet name="ESTIMATE" sheetId="1" r:id="rId7"/>
    <sheet name="SERVICE ESTIMATE" sheetId="29" r:id="rId8"/>
    <sheet name="REDO - EXAMPLE" sheetId="24" state="hidden" r:id="rId9"/>
    <sheet name="HIDE - Dropdowns" sheetId="30" state="hidden" r:id="rId10"/>
    <sheet name="HIDE - DATA" sheetId="22" state="hidden" r:id="rId11"/>
    <sheet name="HIDE - EQUIP TYPES" sheetId="16" state="hidden" r:id="rId12"/>
    <sheet name="BELTS " sheetId="18" r:id="rId13"/>
    <sheet name="FILTERS" sheetId="17" r:id="rId14"/>
    <sheet name="RTU" sheetId="19" state="hidden" r:id="rId15"/>
    <sheet name="Cooling Towers" sheetId="2" state="hidden" r:id="rId16"/>
    <sheet name="Centrifugal Comp." sheetId="15" state="hidden" r:id="rId17"/>
    <sheet name="Air Cooled Condenser" sheetId="8" state="hidden" r:id="rId18"/>
    <sheet name="Boiler" sheetId="7" state="hidden" r:id="rId19"/>
    <sheet name="Pumps" sheetId="6" state="hidden" r:id="rId20"/>
    <sheet name="Axial Fans" sheetId="5" state="hidden" r:id="rId21"/>
    <sheet name="Air Compressors" sheetId="4" state="hidden" r:id="rId22"/>
    <sheet name="Electric Controls" sheetId="12" state="hidden" r:id="rId23"/>
    <sheet name="Water Source Heat Pump" sheetId="11" state="hidden" r:id="rId24"/>
    <sheet name="Make-Up Air" sheetId="10" state="hidden" r:id="rId25"/>
    <sheet name="Res. GasFurnace" sheetId="9" state="hidden" r:id="rId26"/>
    <sheet name="Res. AC Unit" sheetId="14" state="hidden" r:id="rId27"/>
    <sheet name="Misc. Equip." sheetId="13" state="hidden" r:id="rId28"/>
    <sheet name="Air Handling Unit" sheetId="3" state="hidden" r:id="rId29"/>
  </sheets>
  <definedNames>
    <definedName name="_xlnm._FilterDatabase" localSheetId="6" hidden="1">ESTIMATE!$A$5:$B$205</definedName>
    <definedName name="OE">#REF!</definedName>
    <definedName name="OEDRAIN">#REF!</definedName>
    <definedName name="PFPVC">#REF!</definedName>
    <definedName name="_xlnm.Print_Area" localSheetId="7">'SERVICE ESTIMATE'!$A$1:$F$114</definedName>
    <definedName name="wrn.BID._.SUMMARY." localSheetId="9" hidden="1">{#N/A,#N/A,FALSE,"BIDTAB";#N/A,#N/A,FALSE,"FIXTURES";#N/A,#N/A,FALSE,"EQUIPMENT";#N/A,#N/A,FALSE,"DRAINS, CO'S, CARRIERS";#N/A,#N/A,FALSE,"LBR RATE";#N/A,#N/A,FALSE,"BOND CALC"}</definedName>
    <definedName name="wrn.BID._.SUMMARY." hidden="1">{#N/A,#N/A,FALSE,"BIDTAB";#N/A,#N/A,FALSE,"FIXTURES";#N/A,#N/A,FALSE,"EQUIPMENT";#N/A,#N/A,FALSE,"DRAINS, CO'S, CARRIERS";#N/A,#N/A,FALSE,"LBR RATE";#N/A,#N/A,FALSE,"BOND CALC"}</definedName>
    <definedName name="wrn.BMCFP." localSheetId="9" hidden="1">{#N/A,#N/A,FALSE,"Fire Protection"}</definedName>
    <definedName name="wrn.BMCFP." hidden="1">{#N/A,#N/A,FALSE,"Fire Protection"}</definedName>
    <definedName name="wrn.BMCHTG." localSheetId="9" hidden="1">{#N/A,#N/A,FALSE,"Heating-C.S.";#N/A,#N/A,FALSE,"Heating-Bid Tab"}</definedName>
    <definedName name="wrn.BMCHTG." hidden="1">{#N/A,#N/A,FALSE,"Heating-C.S.";#N/A,#N/A,FALSE,"Heating-Bid Tab"}</definedName>
    <definedName name="wrn.BMCHVAC." localSheetId="9" hidden="1">{#N/A,#N/A,FALSE,"Heating-C.S.";#N/A,#N/A,FALSE,"Heating-Bid Tab";#N/A,#N/A,FALSE,"Sheetmetal-C.S.";#N/A,#N/A,FALSE,"Sheetmetal-Bid Tab"}</definedName>
    <definedName name="wrn.BMCHVAC." hidden="1">{#N/A,#N/A,FALSE,"Heating-C.S.";#N/A,#N/A,FALSE,"Heating-Bid Tab";#N/A,#N/A,FALSE,"Sheetmetal-C.S.";#N/A,#N/A,FALSE,"Sheetmetal-Bid Tab"}</definedName>
    <definedName name="wrn.BMCSM." localSheetId="9" hidden="1">{#N/A,#N/A,FALSE,"Sheetmetal-C.S.";#N/A,#N/A,FALSE,"Sheetmetal-Bid Tab"}</definedName>
    <definedName name="wrn.BMCSM." hidden="1">{#N/A,#N/A,FALSE,"Sheetmetal-C.S.";#N/A,#N/A,FALSE,"Sheetmetal-Bid Tab"}</definedName>
    <definedName name="wrn.FILEFP." localSheetId="9" hidden="1">{#N/A,#N/A,FALSE,"Fire Protection";#N/A,#N/A,FALSE," FP Rental List"}</definedName>
    <definedName name="wrn.FILEFP." hidden="1">{#N/A,#N/A,FALSE,"Fire Protection";#N/A,#N/A,FALSE," FP Rental List"}</definedName>
    <definedName name="wrn.FILEHTG." localSheetId="9" hidden="1">{#N/A,#N/A,FALSE,"Heating-C.S.";#N/A,#N/A,FALSE,"Heating-Bid Tab";#N/A,#N/A,FALSE,"Piping Take Off";#N/A,#N/A,FALSE," HTG Rental List"}</definedName>
    <definedName name="wrn.FILEHTG." hidden="1">{#N/A,#N/A,FALSE,"Heating-C.S.";#N/A,#N/A,FALSE,"Heating-Bid Tab";#N/A,#N/A,FALSE,"Piping Take Off";#N/A,#N/A,FALSE," HTG Rental List"}</definedName>
    <definedName name="wrn.FILEHVAC." localSheetId="9" hidden="1">{#N/A,#N/A,FALSE,"Heating-C.S.";#N/A,#N/A,FALSE,"Heating-Bid Tab";#N/A,#N/A,FALSE,"Piping Take Off";#N/A,#N/A,FALSE," HTG Rental List";#N/A,#N/A,FALSE,"Sheetmetal-C.S.";#N/A,#N/A,FALSE,"Sheetmetal-Bid Tab";#N/A,#N/A,FALSE,"Duct Take Off";#N/A,#N/A,FALSE,"SM Rental List"}</definedName>
    <definedName name="wrn.FILEHVAC." hidden="1">{#N/A,#N/A,FALSE,"Heating-C.S.";#N/A,#N/A,FALSE,"Heating-Bid Tab";#N/A,#N/A,FALSE,"Piping Take Off";#N/A,#N/A,FALSE," HTG Rental List";#N/A,#N/A,FALSE,"Sheetmetal-C.S.";#N/A,#N/A,FALSE,"Sheetmetal-Bid Tab";#N/A,#N/A,FALSE,"Duct Take Off";#N/A,#N/A,FALSE,"SM Rental List"}</definedName>
    <definedName name="wrn.FILESM." localSheetId="9" hidden="1">{#N/A,#N/A,FALSE,"Sheetmetal-C.S.";#N/A,#N/A,FALSE,"Sheetmetal-Bid Tab";#N/A,#N/A,FALSE,"Duct Take Off";#N/A,#N/A,FALSE,"SM Rental List"}</definedName>
    <definedName name="wrn.FILESM." hidden="1">{#N/A,#N/A,FALSE,"Sheetmetal-C.S.";#N/A,#N/A,FALSE,"Sheetmetal-Bid Tab";#N/A,#N/A,FALSE,"Duct Take Off";#N/A,#N/A,FALSE,"SM Rental List"}</definedName>
    <definedName name="WRN.MCHPLMB" localSheetId="9" hidden="1">{#N/A,#N/A,FALSE,"Fire Protection"}</definedName>
    <definedName name="WRN.MCHPLMB" hidden="1">{#N/A,#N/A,FALSE,"Fire Protection"}</definedName>
    <definedName name="wrn.test." localSheetId="9" hidden="1">{#N/A,#N/A,FALSE,"Heating-C.S.";#N/A,#N/A,FALSE,"Heating-Bid Tab";#N/A,#N/A,FALSE,"Piping Take Off"}</definedName>
    <definedName name="wrn.test." hidden="1">{#N/A,#N/A,FALSE,"Heating-C.S.";#N/A,#N/A,FALSE,"Heating-Bid Tab";#N/A,#N/A,FALSE,"Piping Take Off"}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 i="25" l="1"/>
  <c r="C30" i="25"/>
  <c r="D30" i="25"/>
  <c r="E30" i="25"/>
  <c r="F30" i="25"/>
  <c r="G30" i="25"/>
  <c r="H30" i="25"/>
  <c r="I30" i="25"/>
  <c r="J30" i="25"/>
  <c r="K30" i="25"/>
  <c r="L30" i="25"/>
  <c r="M30" i="25"/>
  <c r="E64" i="29"/>
  <c r="S14" i="1" l="1"/>
  <c r="AI14" i="1"/>
  <c r="W14" i="1"/>
  <c r="AM14" i="1"/>
  <c r="Y14" i="1"/>
  <c r="AE14" i="1"/>
  <c r="Q14" i="1"/>
  <c r="U14" i="1"/>
  <c r="AA14" i="1"/>
  <c r="AC14" i="1"/>
  <c r="AG14" i="1"/>
  <c r="AK14" i="1"/>
  <c r="C42" i="29"/>
  <c r="D36" i="29"/>
  <c r="D25" i="29"/>
  <c r="D14" i="29"/>
  <c r="C27" i="26"/>
  <c r="D27" i="26"/>
  <c r="E27" i="26"/>
  <c r="F27" i="26"/>
  <c r="G27" i="26"/>
  <c r="H27" i="26"/>
  <c r="I27" i="26"/>
  <c r="J27" i="26"/>
  <c r="K27" i="26"/>
  <c r="L27" i="26"/>
  <c r="M27" i="26"/>
  <c r="B27" i="26"/>
  <c r="C1" i="1"/>
  <c r="L213" i="1"/>
  <c r="AN14" i="1" l="1"/>
  <c r="AA15" i="1"/>
  <c r="AE15" i="1"/>
  <c r="Q15" i="1"/>
  <c r="AG15" i="1"/>
  <c r="W15" i="1"/>
  <c r="AM15" i="1"/>
  <c r="Y15" i="1"/>
  <c r="AC15" i="1"/>
  <c r="AI15" i="1"/>
  <c r="AK15" i="1"/>
  <c r="S15" i="1"/>
  <c r="U15" i="1"/>
  <c r="C4" i="1"/>
  <c r="C2" i="1"/>
  <c r="C3" i="1"/>
  <c r="E8" i="25"/>
  <c r="D7" i="25"/>
  <c r="K5" i="25"/>
  <c r="K3" i="25"/>
  <c r="D5" i="25"/>
  <c r="D4" i="25"/>
  <c r="D3" i="25"/>
  <c r="AN15" i="1" l="1"/>
  <c r="S16" i="1"/>
  <c r="AI16" i="1"/>
  <c r="W16" i="1"/>
  <c r="AM16" i="1"/>
  <c r="Y16" i="1"/>
  <c r="AE16" i="1"/>
  <c r="AG16" i="1"/>
  <c r="AK16" i="1"/>
  <c r="Q16" i="1"/>
  <c r="U16" i="1"/>
  <c r="AA16" i="1"/>
  <c r="AC16" i="1"/>
  <c r="G11" i="26"/>
  <c r="D33" i="29"/>
  <c r="D32" i="29"/>
  <c r="D22" i="29"/>
  <c r="D21" i="29"/>
  <c r="AL211" i="1"/>
  <c r="AJ211" i="1"/>
  <c r="AH211" i="1"/>
  <c r="AF211" i="1"/>
  <c r="AD211" i="1"/>
  <c r="AB211" i="1"/>
  <c r="Z211" i="1"/>
  <c r="X211" i="1"/>
  <c r="V211" i="1"/>
  <c r="T211" i="1"/>
  <c r="R211" i="1"/>
  <c r="AN16" i="1" l="1"/>
  <c r="AA17" i="1"/>
  <c r="AE17" i="1"/>
  <c r="Q17" i="1"/>
  <c r="AG17" i="1"/>
  <c r="W17" i="1"/>
  <c r="AM17" i="1"/>
  <c r="S17" i="1"/>
  <c r="U17" i="1"/>
  <c r="Y17" i="1"/>
  <c r="AC17" i="1"/>
  <c r="AI17" i="1"/>
  <c r="AK17" i="1"/>
  <c r="M211" i="1"/>
  <c r="N31" i="29"/>
  <c r="M31" i="29"/>
  <c r="L31" i="29"/>
  <c r="K31" i="29"/>
  <c r="J31" i="29"/>
  <c r="I31" i="29"/>
  <c r="H31" i="29"/>
  <c r="N20" i="29"/>
  <c r="M20" i="29"/>
  <c r="L20" i="29"/>
  <c r="K20" i="29"/>
  <c r="J20" i="29"/>
  <c r="I20" i="29"/>
  <c r="H20" i="29"/>
  <c r="N9" i="29"/>
  <c r="D10" i="29" s="1"/>
  <c r="M9" i="29"/>
  <c r="D11" i="29" s="1"/>
  <c r="L9" i="29"/>
  <c r="K9" i="29"/>
  <c r="J9" i="29"/>
  <c r="I9" i="29"/>
  <c r="H9" i="29"/>
  <c r="AN17" i="1" l="1"/>
  <c r="S18" i="1"/>
  <c r="AI18" i="1"/>
  <c r="W18" i="1"/>
  <c r="AM18" i="1"/>
  <c r="Y18" i="1"/>
  <c r="AE18" i="1"/>
  <c r="Q18" i="1"/>
  <c r="U18" i="1"/>
  <c r="AA18" i="1"/>
  <c r="AC18" i="1"/>
  <c r="AG18" i="1"/>
  <c r="AK18" i="1"/>
  <c r="L220" i="1"/>
  <c r="L216" i="1"/>
  <c r="L222" i="1"/>
  <c r="L219" i="1"/>
  <c r="L217" i="1"/>
  <c r="L224" i="1"/>
  <c r="L223" i="1"/>
  <c r="L215" i="1"/>
  <c r="L214" i="1"/>
  <c r="L221" i="1"/>
  <c r="L218" i="1"/>
  <c r="R37" i="29"/>
  <c r="C34" i="29"/>
  <c r="L33" i="29"/>
  <c r="K33" i="29"/>
  <c r="J33" i="29"/>
  <c r="I33" i="29"/>
  <c r="H33" i="29"/>
  <c r="C33" i="29"/>
  <c r="E33" i="29" s="1"/>
  <c r="O32" i="29"/>
  <c r="C32" i="29"/>
  <c r="E32" i="29" s="1"/>
  <c r="R31" i="29"/>
  <c r="N33" i="29"/>
  <c r="M33" i="29"/>
  <c r="R26" i="29"/>
  <c r="C23" i="29"/>
  <c r="L22" i="29"/>
  <c r="K22" i="29"/>
  <c r="J22" i="29"/>
  <c r="I22" i="29"/>
  <c r="H22" i="29"/>
  <c r="C22" i="29"/>
  <c r="E22" i="29" s="1"/>
  <c r="O21" i="29"/>
  <c r="C21" i="29"/>
  <c r="E21" i="29" s="1"/>
  <c r="R20" i="29"/>
  <c r="N22" i="29"/>
  <c r="M22" i="29"/>
  <c r="C10" i="29"/>
  <c r="C11" i="29"/>
  <c r="C12" i="29"/>
  <c r="U210" i="1" l="1"/>
  <c r="AA19" i="1"/>
  <c r="AE19" i="1"/>
  <c r="Q19" i="1"/>
  <c r="AG19" i="1"/>
  <c r="W19" i="1"/>
  <c r="AM19" i="1"/>
  <c r="Y19" i="1"/>
  <c r="AC19" i="1"/>
  <c r="AI19" i="1"/>
  <c r="AK19" i="1"/>
  <c r="S19" i="1"/>
  <c r="U19" i="1"/>
  <c r="AN18" i="1"/>
  <c r="AI210" i="1"/>
  <c r="S210" i="1"/>
  <c r="W210" i="1"/>
  <c r="AK210" i="1"/>
  <c r="Y210" i="1"/>
  <c r="AM210" i="1"/>
  <c r="Q210" i="1"/>
  <c r="AA210" i="1"/>
  <c r="AG210" i="1"/>
  <c r="AC210" i="1"/>
  <c r="AE210" i="1"/>
  <c r="O33" i="29"/>
  <c r="H34" i="29" s="1"/>
  <c r="O22" i="29"/>
  <c r="H23" i="29" s="1"/>
  <c r="D23" i="29" s="1"/>
  <c r="J81" i="30"/>
  <c r="J80" i="30"/>
  <c r="J79" i="30"/>
  <c r="J78" i="30"/>
  <c r="J77" i="30"/>
  <c r="J76" i="30"/>
  <c r="J75" i="30"/>
  <c r="J74" i="30"/>
  <c r="J73" i="30"/>
  <c r="J72" i="30"/>
  <c r="J71" i="30"/>
  <c r="J70" i="30"/>
  <c r="J69" i="30"/>
  <c r="J68" i="30"/>
  <c r="J67" i="30"/>
  <c r="J66" i="30"/>
  <c r="J65" i="30"/>
  <c r="J64" i="30"/>
  <c r="J63" i="30"/>
  <c r="J62" i="30"/>
  <c r="J61" i="30"/>
  <c r="J60" i="30"/>
  <c r="J59" i="30"/>
  <c r="J58" i="30"/>
  <c r="J57" i="30"/>
  <c r="J56" i="30"/>
  <c r="J55" i="30"/>
  <c r="J54" i="30"/>
  <c r="J53" i="30"/>
  <c r="J52" i="30"/>
  <c r="J51" i="30"/>
  <c r="J50" i="30"/>
  <c r="J49" i="30"/>
  <c r="J48" i="30"/>
  <c r="J47" i="30"/>
  <c r="J46" i="30"/>
  <c r="J45" i="30"/>
  <c r="J44" i="30"/>
  <c r="J43" i="30"/>
  <c r="J42" i="30"/>
  <c r="J41" i="30"/>
  <c r="J40" i="30"/>
  <c r="J39" i="30"/>
  <c r="J38" i="30"/>
  <c r="J37" i="30"/>
  <c r="J36" i="30"/>
  <c r="J35" i="30"/>
  <c r="J34" i="30"/>
  <c r="J33" i="30"/>
  <c r="J32" i="30"/>
  <c r="J31" i="30"/>
  <c r="J30" i="30"/>
  <c r="J29" i="30"/>
  <c r="J28" i="30"/>
  <c r="J27" i="30"/>
  <c r="J26" i="30"/>
  <c r="J25" i="30"/>
  <c r="J24" i="30"/>
  <c r="J23" i="30"/>
  <c r="J22" i="30"/>
  <c r="J21" i="30"/>
  <c r="J20" i="30"/>
  <c r="J19" i="30"/>
  <c r="J18" i="30"/>
  <c r="J17" i="30"/>
  <c r="J16" i="30"/>
  <c r="J15" i="30"/>
  <c r="J14" i="30"/>
  <c r="J13" i="30"/>
  <c r="J12" i="30"/>
  <c r="J11" i="30"/>
  <c r="J10" i="30"/>
  <c r="J9" i="30"/>
  <c r="J8" i="30"/>
  <c r="AN19" i="1" l="1"/>
  <c r="S20" i="1"/>
  <c r="AI20" i="1"/>
  <c r="W20" i="1"/>
  <c r="AM20" i="1"/>
  <c r="Y20" i="1"/>
  <c r="AE20" i="1"/>
  <c r="AG20" i="1"/>
  <c r="AK20" i="1"/>
  <c r="Q20" i="1"/>
  <c r="U20" i="1"/>
  <c r="AA20" i="1"/>
  <c r="AC20" i="1"/>
  <c r="AO210" i="1"/>
  <c r="B30" i="29" s="1"/>
  <c r="C36" i="29" s="1"/>
  <c r="E36" i="29" s="1"/>
  <c r="D34" i="29"/>
  <c r="E34" i="29" s="1"/>
  <c r="E23" i="29"/>
  <c r="E53" i="29"/>
  <c r="L11" i="29"/>
  <c r="K11" i="29"/>
  <c r="J11" i="29"/>
  <c r="I11" i="29"/>
  <c r="H11" i="29"/>
  <c r="O10" i="29"/>
  <c r="E10" i="29"/>
  <c r="N11" i="29"/>
  <c r="R15" i="29"/>
  <c r="R9" i="29"/>
  <c r="AN20" i="1" l="1"/>
  <c r="AA21" i="1"/>
  <c r="AE21" i="1"/>
  <c r="Q21" i="1"/>
  <c r="AG21" i="1"/>
  <c r="W21" i="1"/>
  <c r="AM21" i="1"/>
  <c r="S21" i="1"/>
  <c r="U21" i="1"/>
  <c r="Y21" i="1"/>
  <c r="AC21" i="1"/>
  <c r="AI21" i="1"/>
  <c r="AK21" i="1"/>
  <c r="W209" i="1"/>
  <c r="J12" i="25"/>
  <c r="AN21" i="1" l="1"/>
  <c r="S22" i="1"/>
  <c r="AI22" i="1"/>
  <c r="W22" i="1"/>
  <c r="AM22" i="1"/>
  <c r="Y22" i="1"/>
  <c r="AE22" i="1"/>
  <c r="Q22" i="1"/>
  <c r="U22" i="1"/>
  <c r="AA22" i="1"/>
  <c r="AC22" i="1"/>
  <c r="AG22" i="1"/>
  <c r="AK22" i="1"/>
  <c r="E27" i="25"/>
  <c r="AN22" i="1" l="1"/>
  <c r="AA23" i="1"/>
  <c r="AE23" i="1"/>
  <c r="Q23" i="1"/>
  <c r="AG23" i="1"/>
  <c r="W23" i="1"/>
  <c r="AM23" i="1"/>
  <c r="Y23" i="1"/>
  <c r="AC23" i="1"/>
  <c r="AI23" i="1"/>
  <c r="AK23" i="1"/>
  <c r="S23" i="1"/>
  <c r="U23" i="1"/>
  <c r="E24" i="26"/>
  <c r="AN23" i="1" l="1"/>
  <c r="S24" i="1"/>
  <c r="AI24" i="1"/>
  <c r="W24" i="1"/>
  <c r="AM24" i="1"/>
  <c r="Y24" i="1"/>
  <c r="AE24" i="1"/>
  <c r="AG24" i="1"/>
  <c r="AK24" i="1"/>
  <c r="Q24" i="1"/>
  <c r="U24" i="1"/>
  <c r="AA24" i="1"/>
  <c r="AC24" i="1"/>
  <c r="Q209" i="1"/>
  <c r="AN24" i="1" l="1"/>
  <c r="AA25" i="1"/>
  <c r="AE25" i="1"/>
  <c r="Q25" i="1"/>
  <c r="AG25" i="1"/>
  <c r="W25" i="1"/>
  <c r="AM25" i="1"/>
  <c r="S25" i="1"/>
  <c r="U25" i="1"/>
  <c r="Y25" i="1"/>
  <c r="AC25" i="1"/>
  <c r="AI25" i="1"/>
  <c r="AK25" i="1"/>
  <c r="B27" i="25"/>
  <c r="B24" i="26"/>
  <c r="S9" i="1"/>
  <c r="S8" i="1"/>
  <c r="AN209" i="1"/>
  <c r="AO211" i="1"/>
  <c r="AN212" i="1"/>
  <c r="AO212" i="1"/>
  <c r="AN213" i="1"/>
  <c r="AN214" i="1"/>
  <c r="AN215" i="1"/>
  <c r="AN25" i="1" l="1"/>
  <c r="S26" i="1"/>
  <c r="AI26" i="1"/>
  <c r="W26" i="1"/>
  <c r="AM26" i="1"/>
  <c r="Y26" i="1"/>
  <c r="AE26" i="1"/>
  <c r="Q26" i="1"/>
  <c r="U26" i="1"/>
  <c r="AA26" i="1"/>
  <c r="AC26" i="1"/>
  <c r="AG26" i="1"/>
  <c r="AK26" i="1"/>
  <c r="S209" i="1"/>
  <c r="AM209" i="1"/>
  <c r="AK209" i="1"/>
  <c r="AI209" i="1"/>
  <c r="AG209" i="1"/>
  <c r="AE209" i="1"/>
  <c r="AC209" i="1"/>
  <c r="AA209" i="1"/>
  <c r="Y209" i="1"/>
  <c r="U209" i="1"/>
  <c r="AA27" i="1" l="1"/>
  <c r="AE27" i="1"/>
  <c r="Q27" i="1"/>
  <c r="AG27" i="1"/>
  <c r="W27" i="1"/>
  <c r="AM27" i="1"/>
  <c r="Y27" i="1"/>
  <c r="AC27" i="1"/>
  <c r="AI27" i="1"/>
  <c r="AK27" i="1"/>
  <c r="S27" i="1"/>
  <c r="U27" i="1"/>
  <c r="AN26" i="1"/>
  <c r="J27" i="25"/>
  <c r="J24" i="26"/>
  <c r="K27" i="25"/>
  <c r="K24" i="26"/>
  <c r="M27" i="25"/>
  <c r="M24" i="26"/>
  <c r="C27" i="25"/>
  <c r="C24" i="26"/>
  <c r="H27" i="25"/>
  <c r="H24" i="26"/>
  <c r="I27" i="25"/>
  <c r="I24" i="26"/>
  <c r="L27" i="25"/>
  <c r="L24" i="26"/>
  <c r="D27" i="25"/>
  <c r="D24" i="26"/>
  <c r="F27" i="25"/>
  <c r="F24" i="26"/>
  <c r="G27" i="25"/>
  <c r="G24" i="26"/>
  <c r="AO209" i="1"/>
  <c r="B19" i="29" s="1"/>
  <c r="AN27" i="1" l="1"/>
  <c r="S28" i="1"/>
  <c r="AI28" i="1"/>
  <c r="W28" i="1"/>
  <c r="AM28" i="1"/>
  <c r="Y28" i="1"/>
  <c r="AE28" i="1"/>
  <c r="AG28" i="1"/>
  <c r="AK28" i="1"/>
  <c r="Q28" i="1"/>
  <c r="U28" i="1"/>
  <c r="AA28" i="1"/>
  <c r="AC28" i="1"/>
  <c r="C25" i="29"/>
  <c r="E25" i="29" s="1"/>
  <c r="Q216" i="1"/>
  <c r="AL109" i="24"/>
  <c r="AK109" i="24"/>
  <c r="AJ109" i="24"/>
  <c r="AI109" i="24"/>
  <c r="AH109" i="24"/>
  <c r="AG109" i="24"/>
  <c r="AF109" i="24"/>
  <c r="AE109" i="24"/>
  <c r="AD109" i="24"/>
  <c r="AC109" i="24"/>
  <c r="AB109" i="24"/>
  <c r="AA109" i="24"/>
  <c r="Z109" i="24"/>
  <c r="Y109" i="24"/>
  <c r="X109" i="24"/>
  <c r="W109" i="24"/>
  <c r="V109" i="24"/>
  <c r="U109" i="24"/>
  <c r="T109" i="24"/>
  <c r="S109" i="24"/>
  <c r="R109" i="24"/>
  <c r="Q109" i="24"/>
  <c r="P109" i="24"/>
  <c r="O109" i="24"/>
  <c r="AN108" i="24"/>
  <c r="AM108" i="24"/>
  <c r="AN107" i="24"/>
  <c r="AM107" i="24"/>
  <c r="AN106" i="24"/>
  <c r="AM106" i="24"/>
  <c r="AN105" i="24"/>
  <c r="AM105" i="24"/>
  <c r="AN104" i="24"/>
  <c r="AM104" i="24"/>
  <c r="AM103" i="24"/>
  <c r="V103" i="24"/>
  <c r="AN103" i="24" s="1"/>
  <c r="AL99" i="24"/>
  <c r="AJ99" i="24"/>
  <c r="AH99" i="24"/>
  <c r="AF99" i="24"/>
  <c r="AD99" i="24"/>
  <c r="AB99" i="24"/>
  <c r="Z99" i="24"/>
  <c r="X99" i="24"/>
  <c r="V99" i="24"/>
  <c r="T99" i="24"/>
  <c r="R99" i="24"/>
  <c r="P99" i="24"/>
  <c r="AL98" i="24"/>
  <c r="AJ98" i="24"/>
  <c r="AH98" i="24"/>
  <c r="AF98" i="24"/>
  <c r="AD98" i="24"/>
  <c r="AB98" i="24"/>
  <c r="Z98" i="24"/>
  <c r="X98" i="24"/>
  <c r="V98" i="24"/>
  <c r="T98" i="24"/>
  <c r="R98" i="24"/>
  <c r="P98" i="24"/>
  <c r="AL97" i="24"/>
  <c r="AJ97" i="24"/>
  <c r="AH97" i="24"/>
  <c r="AF97" i="24"/>
  <c r="AD97" i="24"/>
  <c r="AB97" i="24"/>
  <c r="Z97" i="24"/>
  <c r="X97" i="24"/>
  <c r="V97" i="24"/>
  <c r="T97" i="24"/>
  <c r="R97" i="24"/>
  <c r="P97" i="24"/>
  <c r="AL96" i="24"/>
  <c r="AJ96" i="24"/>
  <c r="AH96" i="24"/>
  <c r="AF96" i="24"/>
  <c r="AD96" i="24"/>
  <c r="AB96" i="24"/>
  <c r="Z96" i="24"/>
  <c r="X96" i="24"/>
  <c r="V96" i="24"/>
  <c r="T96" i="24"/>
  <c r="R96" i="24"/>
  <c r="P96" i="24"/>
  <c r="AL95" i="24"/>
  <c r="AJ95" i="24"/>
  <c r="AH95" i="24"/>
  <c r="AF95" i="24"/>
  <c r="AD95" i="24"/>
  <c r="AB95" i="24"/>
  <c r="Z95" i="24"/>
  <c r="X95" i="24"/>
  <c r="V95" i="24"/>
  <c r="T95" i="24"/>
  <c r="AM95" i="24" s="1"/>
  <c r="R95" i="24"/>
  <c r="P95" i="24"/>
  <c r="AL94" i="24"/>
  <c r="AJ94" i="24"/>
  <c r="AH94" i="24"/>
  <c r="AF94" i="24"/>
  <c r="AD94" i="24"/>
  <c r="AB94" i="24"/>
  <c r="Z94" i="24"/>
  <c r="X94" i="24"/>
  <c r="V94" i="24"/>
  <c r="T94" i="24"/>
  <c r="R94" i="24"/>
  <c r="P94" i="24"/>
  <c r="AL93" i="24"/>
  <c r="AJ93" i="24"/>
  <c r="AH93" i="24"/>
  <c r="AF93" i="24"/>
  <c r="AD93" i="24"/>
  <c r="AB93" i="24"/>
  <c r="Z93" i="24"/>
  <c r="X93" i="24"/>
  <c r="V93" i="24"/>
  <c r="T93" i="24"/>
  <c r="R93" i="24"/>
  <c r="P93" i="24"/>
  <c r="AL92" i="24"/>
  <c r="AJ92" i="24"/>
  <c r="AH92" i="24"/>
  <c r="AF92" i="24"/>
  <c r="AD92" i="24"/>
  <c r="AB92" i="24"/>
  <c r="Z92" i="24"/>
  <c r="X92" i="24"/>
  <c r="V92" i="24"/>
  <c r="T92" i="24"/>
  <c r="R92" i="24"/>
  <c r="P92" i="24"/>
  <c r="AL91" i="24"/>
  <c r="AJ91" i="24"/>
  <c r="AH91" i="24"/>
  <c r="AF91" i="24"/>
  <c r="AD91" i="24"/>
  <c r="AB91" i="24"/>
  <c r="Z91" i="24"/>
  <c r="X91" i="24"/>
  <c r="V91" i="24"/>
  <c r="T91" i="24"/>
  <c r="R91" i="24"/>
  <c r="P91" i="24"/>
  <c r="AL90" i="24"/>
  <c r="AJ90" i="24"/>
  <c r="AH90" i="24"/>
  <c r="AF90" i="24"/>
  <c r="AD90" i="24"/>
  <c r="AB90" i="24"/>
  <c r="Z90" i="24"/>
  <c r="X90" i="24"/>
  <c r="V90" i="24"/>
  <c r="T90" i="24"/>
  <c r="R90" i="24"/>
  <c r="P90" i="24"/>
  <c r="AL89" i="24"/>
  <c r="AJ89" i="24"/>
  <c r="AH89" i="24"/>
  <c r="AF89" i="24"/>
  <c r="AD89" i="24"/>
  <c r="AB89" i="24"/>
  <c r="Z89" i="24"/>
  <c r="X89" i="24"/>
  <c r="V89" i="24"/>
  <c r="T89" i="24"/>
  <c r="R89" i="24"/>
  <c r="P89" i="24"/>
  <c r="AL88" i="24"/>
  <c r="AJ88" i="24"/>
  <c r="AH88" i="24"/>
  <c r="AF88" i="24"/>
  <c r="AD88" i="24"/>
  <c r="AB88" i="24"/>
  <c r="Z88" i="24"/>
  <c r="X88" i="24"/>
  <c r="V88" i="24"/>
  <c r="T88" i="24"/>
  <c r="R88" i="24"/>
  <c r="P88" i="24"/>
  <c r="AL87" i="24"/>
  <c r="AJ87" i="24"/>
  <c r="AH87" i="24"/>
  <c r="AF87" i="24"/>
  <c r="AD87" i="24"/>
  <c r="AB87" i="24"/>
  <c r="Z87" i="24"/>
  <c r="X87" i="24"/>
  <c r="V87" i="24"/>
  <c r="T87" i="24"/>
  <c r="AM87" i="24" s="1"/>
  <c r="R87" i="24"/>
  <c r="P87" i="24"/>
  <c r="AL86" i="24"/>
  <c r="AJ86" i="24"/>
  <c r="AH86" i="24"/>
  <c r="AF86" i="24"/>
  <c r="AD86" i="24"/>
  <c r="AB86" i="24"/>
  <c r="Z86" i="24"/>
  <c r="X86" i="24"/>
  <c r="V86" i="24"/>
  <c r="T86" i="24"/>
  <c r="R86" i="24"/>
  <c r="P86" i="24"/>
  <c r="AL85" i="24"/>
  <c r="AJ85" i="24"/>
  <c r="AH85" i="24"/>
  <c r="AF85" i="24"/>
  <c r="AD85" i="24"/>
  <c r="AB85" i="24"/>
  <c r="Z85" i="24"/>
  <c r="X85" i="24"/>
  <c r="V85" i="24"/>
  <c r="T85" i="24"/>
  <c r="R85" i="24"/>
  <c r="P85" i="24"/>
  <c r="AL84" i="24"/>
  <c r="AJ84" i="24"/>
  <c r="AH84" i="24"/>
  <c r="AF84" i="24"/>
  <c r="AD84" i="24"/>
  <c r="AB84" i="24"/>
  <c r="Z84" i="24"/>
  <c r="X84" i="24"/>
  <c r="V84" i="24"/>
  <c r="T84" i="24"/>
  <c r="R84" i="24"/>
  <c r="P84" i="24"/>
  <c r="AL83" i="24"/>
  <c r="AJ83" i="24"/>
  <c r="AH83" i="24"/>
  <c r="AF83" i="24"/>
  <c r="AD83" i="24"/>
  <c r="AB83" i="24"/>
  <c r="Z83" i="24"/>
  <c r="X83" i="24"/>
  <c r="V83" i="24"/>
  <c r="T83" i="24"/>
  <c r="R83" i="24"/>
  <c r="P83" i="24"/>
  <c r="AL82" i="24"/>
  <c r="AJ82" i="24"/>
  <c r="AH82" i="24"/>
  <c r="AF82" i="24"/>
  <c r="AD82" i="24"/>
  <c r="AB82" i="24"/>
  <c r="Z82" i="24"/>
  <c r="X82" i="24"/>
  <c r="V82" i="24"/>
  <c r="T82" i="24"/>
  <c r="R82" i="24"/>
  <c r="P82" i="24"/>
  <c r="AL81" i="24"/>
  <c r="AJ81" i="24"/>
  <c r="AH81" i="24"/>
  <c r="AF81" i="24"/>
  <c r="AD81" i="24"/>
  <c r="AB81" i="24"/>
  <c r="Z81" i="24"/>
  <c r="X81" i="24"/>
  <c r="V81" i="24"/>
  <c r="T81" i="24"/>
  <c r="R81" i="24"/>
  <c r="P81" i="24"/>
  <c r="AL80" i="24"/>
  <c r="AJ80" i="24"/>
  <c r="AH80" i="24"/>
  <c r="AF80" i="24"/>
  <c r="AD80" i="24"/>
  <c r="AB80" i="24"/>
  <c r="Z80" i="24"/>
  <c r="X80" i="24"/>
  <c r="V80" i="24"/>
  <c r="T80" i="24"/>
  <c r="R80" i="24"/>
  <c r="P80" i="24"/>
  <c r="AL79" i="24"/>
  <c r="AJ79" i="24"/>
  <c r="AH79" i="24"/>
  <c r="AF79" i="24"/>
  <c r="AD79" i="24"/>
  <c r="AB79" i="24"/>
  <c r="Z79" i="24"/>
  <c r="X79" i="24"/>
  <c r="V79" i="24"/>
  <c r="T79" i="24"/>
  <c r="AM79" i="24" s="1"/>
  <c r="R79" i="24"/>
  <c r="P79" i="24"/>
  <c r="AL78" i="24"/>
  <c r="AJ78" i="24"/>
  <c r="AH78" i="24"/>
  <c r="AF78" i="24"/>
  <c r="AD78" i="24"/>
  <c r="AB78" i="24"/>
  <c r="Z78" i="24"/>
  <c r="X78" i="24"/>
  <c r="V78" i="24"/>
  <c r="T78" i="24"/>
  <c r="R78" i="24"/>
  <c r="P78" i="24"/>
  <c r="AL77" i="24"/>
  <c r="AJ77" i="24"/>
  <c r="AH77" i="24"/>
  <c r="AF77" i="24"/>
  <c r="AD77" i="24"/>
  <c r="AB77" i="24"/>
  <c r="Z77" i="24"/>
  <c r="X77" i="24"/>
  <c r="V77" i="24"/>
  <c r="T77" i="24"/>
  <c r="R77" i="24"/>
  <c r="P77" i="24"/>
  <c r="AL76" i="24"/>
  <c r="AJ76" i="24"/>
  <c r="AH76" i="24"/>
  <c r="AF76" i="24"/>
  <c r="AD76" i="24"/>
  <c r="AB76" i="24"/>
  <c r="Z76" i="24"/>
  <c r="X76" i="24"/>
  <c r="V76" i="24"/>
  <c r="T76" i="24"/>
  <c r="R76" i="24"/>
  <c r="P76" i="24"/>
  <c r="AL75" i="24"/>
  <c r="AJ75" i="24"/>
  <c r="AH75" i="24"/>
  <c r="AF75" i="24"/>
  <c r="AD75" i="24"/>
  <c r="AB75" i="24"/>
  <c r="Z75" i="24"/>
  <c r="X75" i="24"/>
  <c r="V75" i="24"/>
  <c r="T75" i="24"/>
  <c r="R75" i="24"/>
  <c r="P75" i="24"/>
  <c r="AL74" i="24"/>
  <c r="AJ74" i="24"/>
  <c r="AH74" i="24"/>
  <c r="AF74" i="24"/>
  <c r="AD74" i="24"/>
  <c r="AB74" i="24"/>
  <c r="Z74" i="24"/>
  <c r="X74" i="24"/>
  <c r="V74" i="24"/>
  <c r="T74" i="24"/>
  <c r="R74" i="24"/>
  <c r="P74" i="24"/>
  <c r="AL73" i="24"/>
  <c r="AJ73" i="24"/>
  <c r="AH73" i="24"/>
  <c r="AF73" i="24"/>
  <c r="AD73" i="24"/>
  <c r="AB73" i="24"/>
  <c r="Z73" i="24"/>
  <c r="X73" i="24"/>
  <c r="V73" i="24"/>
  <c r="T73" i="24"/>
  <c r="R73" i="24"/>
  <c r="P73" i="24"/>
  <c r="AL72" i="24"/>
  <c r="AJ72" i="24"/>
  <c r="AH72" i="24"/>
  <c r="AF72" i="24"/>
  <c r="AD72" i="24"/>
  <c r="AB72" i="24"/>
  <c r="Z72" i="24"/>
  <c r="X72" i="24"/>
  <c r="V72" i="24"/>
  <c r="T72" i="24"/>
  <c r="R72" i="24"/>
  <c r="P72" i="24"/>
  <c r="AL71" i="24"/>
  <c r="AJ71" i="24"/>
  <c r="AH71" i="24"/>
  <c r="AF71" i="24"/>
  <c r="AD71" i="24"/>
  <c r="AB71" i="24"/>
  <c r="Z71" i="24"/>
  <c r="X71" i="24"/>
  <c r="V71" i="24"/>
  <c r="T71" i="24"/>
  <c r="AM71" i="24" s="1"/>
  <c r="R71" i="24"/>
  <c r="P71" i="24"/>
  <c r="AL70" i="24"/>
  <c r="AJ70" i="24"/>
  <c r="AH70" i="24"/>
  <c r="AF70" i="24"/>
  <c r="AD70" i="24"/>
  <c r="AB70" i="24"/>
  <c r="Z70" i="24"/>
  <c r="X70" i="24"/>
  <c r="V70" i="24"/>
  <c r="T70" i="24"/>
  <c r="R70" i="24"/>
  <c r="P70" i="24"/>
  <c r="AL69" i="24"/>
  <c r="AJ69" i="24"/>
  <c r="AH69" i="24"/>
  <c r="AF69" i="24"/>
  <c r="AD69" i="24"/>
  <c r="AB69" i="24"/>
  <c r="Z69" i="24"/>
  <c r="X69" i="24"/>
  <c r="V69" i="24"/>
  <c r="T69" i="24"/>
  <c r="R69" i="24"/>
  <c r="P69" i="24"/>
  <c r="AM69" i="24" s="1"/>
  <c r="AL68" i="24"/>
  <c r="AJ68" i="24"/>
  <c r="AH68" i="24"/>
  <c r="AF68" i="24"/>
  <c r="AD68" i="24"/>
  <c r="AB68" i="24"/>
  <c r="Z68" i="24"/>
  <c r="X68" i="24"/>
  <c r="V68" i="24"/>
  <c r="T68" i="24"/>
  <c r="R68" i="24"/>
  <c r="P68" i="24"/>
  <c r="AL67" i="24"/>
  <c r="AJ67" i="24"/>
  <c r="AH67" i="24"/>
  <c r="AF67" i="24"/>
  <c r="AD67" i="24"/>
  <c r="AB67" i="24"/>
  <c r="Z67" i="24"/>
  <c r="X67" i="24"/>
  <c r="V67" i="24"/>
  <c r="AM67" i="24" s="1"/>
  <c r="T67" i="24"/>
  <c r="R67" i="24"/>
  <c r="P67" i="24"/>
  <c r="AL66" i="24"/>
  <c r="AJ66" i="24"/>
  <c r="AH66" i="24"/>
  <c r="AF66" i="24"/>
  <c r="AD66" i="24"/>
  <c r="AB66" i="24"/>
  <c r="Z66" i="24"/>
  <c r="X66" i="24"/>
  <c r="V66" i="24"/>
  <c r="T66" i="24"/>
  <c r="R66" i="24"/>
  <c r="P66" i="24"/>
  <c r="AL65" i="24"/>
  <c r="AJ65" i="24"/>
  <c r="AH65" i="24"/>
  <c r="AF65" i="24"/>
  <c r="AD65" i="24"/>
  <c r="AB65" i="24"/>
  <c r="Z65" i="24"/>
  <c r="X65" i="24"/>
  <c r="V65" i="24"/>
  <c r="T65" i="24"/>
  <c r="R65" i="24"/>
  <c r="P65" i="24"/>
  <c r="AL64" i="24"/>
  <c r="AJ64" i="24"/>
  <c r="AH64" i="24"/>
  <c r="AF64" i="24"/>
  <c r="AD64" i="24"/>
  <c r="AB64" i="24"/>
  <c r="Z64" i="24"/>
  <c r="X64" i="24"/>
  <c r="V64" i="24"/>
  <c r="T64" i="24"/>
  <c r="R64" i="24"/>
  <c r="P64" i="24"/>
  <c r="AL63" i="24"/>
  <c r="AJ63" i="24"/>
  <c r="AH63" i="24"/>
  <c r="AF63" i="24"/>
  <c r="AD63" i="24"/>
  <c r="AB63" i="24"/>
  <c r="Z63" i="24"/>
  <c r="X63" i="24"/>
  <c r="V63" i="24"/>
  <c r="T63" i="24"/>
  <c r="R63" i="24"/>
  <c r="P63" i="24"/>
  <c r="AL62" i="24"/>
  <c r="AJ62" i="24"/>
  <c r="AH62" i="24"/>
  <c r="AF62" i="24"/>
  <c r="AD62" i="24"/>
  <c r="AB62" i="24"/>
  <c r="Z62" i="24"/>
  <c r="X62" i="24"/>
  <c r="V62" i="24"/>
  <c r="T62" i="24"/>
  <c r="R62" i="24"/>
  <c r="P62" i="24"/>
  <c r="AL61" i="24"/>
  <c r="AJ61" i="24"/>
  <c r="AH61" i="24"/>
  <c r="AF61" i="24"/>
  <c r="AD61" i="24"/>
  <c r="AB61" i="24"/>
  <c r="Z61" i="24"/>
  <c r="X61" i="24"/>
  <c r="AM61" i="24" s="1"/>
  <c r="V61" i="24"/>
  <c r="T61" i="24"/>
  <c r="R61" i="24"/>
  <c r="P61" i="24"/>
  <c r="AL60" i="24"/>
  <c r="AJ60" i="24"/>
  <c r="AH60" i="24"/>
  <c r="AF60" i="24"/>
  <c r="AD60" i="24"/>
  <c r="AB60" i="24"/>
  <c r="Z60" i="24"/>
  <c r="X60" i="24"/>
  <c r="V60" i="24"/>
  <c r="T60" i="24"/>
  <c r="R60" i="24"/>
  <c r="P60" i="24"/>
  <c r="AL59" i="24"/>
  <c r="AJ59" i="24"/>
  <c r="AH59" i="24"/>
  <c r="AF59" i="24"/>
  <c r="AD59" i="24"/>
  <c r="AB59" i="24"/>
  <c r="Z59" i="24"/>
  <c r="X59" i="24"/>
  <c r="V59" i="24"/>
  <c r="T59" i="24"/>
  <c r="R59" i="24"/>
  <c r="P59" i="24"/>
  <c r="AL58" i="24"/>
  <c r="AJ58" i="24"/>
  <c r="AH58" i="24"/>
  <c r="AF58" i="24"/>
  <c r="AD58" i="24"/>
  <c r="AB58" i="24"/>
  <c r="Z58" i="24"/>
  <c r="X58" i="24"/>
  <c r="V58" i="24"/>
  <c r="T58" i="24"/>
  <c r="R58" i="24"/>
  <c r="P58" i="24"/>
  <c r="AL57" i="24"/>
  <c r="AJ57" i="24"/>
  <c r="AH57" i="24"/>
  <c r="AF57" i="24"/>
  <c r="AD57" i="24"/>
  <c r="AB57" i="24"/>
  <c r="Z57" i="24"/>
  <c r="X57" i="24"/>
  <c r="V57" i="24"/>
  <c r="T57" i="24"/>
  <c r="R57" i="24"/>
  <c r="P57" i="24"/>
  <c r="AL56" i="24"/>
  <c r="AJ56" i="24"/>
  <c r="AH56" i="24"/>
  <c r="AF56" i="24"/>
  <c r="AD56" i="24"/>
  <c r="AB56" i="24"/>
  <c r="Z56" i="24"/>
  <c r="X56" i="24"/>
  <c r="V56" i="24"/>
  <c r="T56" i="24"/>
  <c r="R56" i="24"/>
  <c r="P56" i="24"/>
  <c r="AM56" i="24" s="1"/>
  <c r="AL55" i="24"/>
  <c r="AJ55" i="24"/>
  <c r="AH55" i="24"/>
  <c r="AF55" i="24"/>
  <c r="AD55" i="24"/>
  <c r="AB55" i="24"/>
  <c r="Z55" i="24"/>
  <c r="X55" i="24"/>
  <c r="V55" i="24"/>
  <c r="T55" i="24"/>
  <c r="R55" i="24"/>
  <c r="P55" i="24"/>
  <c r="AL54" i="24"/>
  <c r="AJ54" i="24"/>
  <c r="AH54" i="24"/>
  <c r="AF54" i="24"/>
  <c r="AD54" i="24"/>
  <c r="AB54" i="24"/>
  <c r="Z54" i="24"/>
  <c r="X54" i="24"/>
  <c r="V54" i="24"/>
  <c r="T54" i="24"/>
  <c r="R54" i="24"/>
  <c r="P54" i="24"/>
  <c r="AL53" i="24"/>
  <c r="AJ53" i="24"/>
  <c r="AH53" i="24"/>
  <c r="AF53" i="24"/>
  <c r="AD53" i="24"/>
  <c r="AB53" i="24"/>
  <c r="Z53" i="24"/>
  <c r="X53" i="24"/>
  <c r="AM53" i="24" s="1"/>
  <c r="V53" i="24"/>
  <c r="T53" i="24"/>
  <c r="R53" i="24"/>
  <c r="P53" i="24"/>
  <c r="AL52" i="24"/>
  <c r="AJ52" i="24"/>
  <c r="AH52" i="24"/>
  <c r="AF52" i="24"/>
  <c r="AD52" i="24"/>
  <c r="AB52" i="24"/>
  <c r="Z52" i="24"/>
  <c r="X52" i="24"/>
  <c r="V52" i="24"/>
  <c r="T52" i="24"/>
  <c r="R52" i="24"/>
  <c r="P52" i="24"/>
  <c r="AL51" i="24"/>
  <c r="AJ51" i="24"/>
  <c r="AH51" i="24"/>
  <c r="AF51" i="24"/>
  <c r="AD51" i="24"/>
  <c r="AB51" i="24"/>
  <c r="Z51" i="24"/>
  <c r="X51" i="24"/>
  <c r="V51" i="24"/>
  <c r="T51" i="24"/>
  <c r="R51" i="24"/>
  <c r="P51" i="24"/>
  <c r="AL50" i="24"/>
  <c r="AJ50" i="24"/>
  <c r="AH50" i="24"/>
  <c r="AF50" i="24"/>
  <c r="AD50" i="24"/>
  <c r="AB50" i="24"/>
  <c r="Z50" i="24"/>
  <c r="X50" i="24"/>
  <c r="V50" i="24"/>
  <c r="T50" i="24"/>
  <c r="R50" i="24"/>
  <c r="P50" i="24"/>
  <c r="AM50" i="24" s="1"/>
  <c r="AL49" i="24"/>
  <c r="AJ49" i="24"/>
  <c r="AH49" i="24"/>
  <c r="AF49" i="24"/>
  <c r="AD49" i="24"/>
  <c r="AB49" i="24"/>
  <c r="Z49" i="24"/>
  <c r="X49" i="24"/>
  <c r="V49" i="24"/>
  <c r="T49" i="24"/>
  <c r="R49" i="24"/>
  <c r="P49" i="24"/>
  <c r="AL48" i="24"/>
  <c r="AJ48" i="24"/>
  <c r="AH48" i="24"/>
  <c r="AF48" i="24"/>
  <c r="AD48" i="24"/>
  <c r="AB48" i="24"/>
  <c r="Z48" i="24"/>
  <c r="X48" i="24"/>
  <c r="V48" i="24"/>
  <c r="T48" i="24"/>
  <c r="R48" i="24"/>
  <c r="P48" i="24"/>
  <c r="AM48" i="24" s="1"/>
  <c r="AL47" i="24"/>
  <c r="AJ47" i="24"/>
  <c r="AH47" i="24"/>
  <c r="AF47" i="24"/>
  <c r="AD47" i="24"/>
  <c r="AB47" i="24"/>
  <c r="Z47" i="24"/>
  <c r="X47" i="24"/>
  <c r="V47" i="24"/>
  <c r="T47" i="24"/>
  <c r="R47" i="24"/>
  <c r="P47" i="24"/>
  <c r="AL46" i="24"/>
  <c r="AJ46" i="24"/>
  <c r="AH46" i="24"/>
  <c r="AF46" i="24"/>
  <c r="AD46" i="24"/>
  <c r="AB46" i="24"/>
  <c r="Z46" i="24"/>
  <c r="X46" i="24"/>
  <c r="V46" i="24"/>
  <c r="T46" i="24"/>
  <c r="R46" i="24"/>
  <c r="P46" i="24"/>
  <c r="AL45" i="24"/>
  <c r="AJ45" i="24"/>
  <c r="AH45" i="24"/>
  <c r="AF45" i="24"/>
  <c r="AD45" i="24"/>
  <c r="AB45" i="24"/>
  <c r="Z45" i="24"/>
  <c r="X45" i="24"/>
  <c r="AM45" i="24" s="1"/>
  <c r="V45" i="24"/>
  <c r="T45" i="24"/>
  <c r="R45" i="24"/>
  <c r="P45" i="24"/>
  <c r="AL44" i="24"/>
  <c r="AJ44" i="24"/>
  <c r="AH44" i="24"/>
  <c r="AF44" i="24"/>
  <c r="AD44" i="24"/>
  <c r="AB44" i="24"/>
  <c r="Z44" i="24"/>
  <c r="X44" i="24"/>
  <c r="V44" i="24"/>
  <c r="T44" i="24"/>
  <c r="R44" i="24"/>
  <c r="P44" i="24"/>
  <c r="AL43" i="24"/>
  <c r="AJ43" i="24"/>
  <c r="AH43" i="24"/>
  <c r="AF43" i="24"/>
  <c r="AD43" i="24"/>
  <c r="AB43" i="24"/>
  <c r="Z43" i="24"/>
  <c r="X43" i="24"/>
  <c r="V43" i="24"/>
  <c r="T43" i="24"/>
  <c r="R43" i="24"/>
  <c r="P43" i="24"/>
  <c r="AL42" i="24"/>
  <c r="AJ42" i="24"/>
  <c r="AH42" i="24"/>
  <c r="AF42" i="24"/>
  <c r="AD42" i="24"/>
  <c r="AB42" i="24"/>
  <c r="Z42" i="24"/>
  <c r="X42" i="24"/>
  <c r="V42" i="24"/>
  <c r="T42" i="24"/>
  <c r="R42" i="24"/>
  <c r="P42" i="24"/>
  <c r="AM42" i="24" s="1"/>
  <c r="AL41" i="24"/>
  <c r="AJ41" i="24"/>
  <c r="AH41" i="24"/>
  <c r="AF41" i="24"/>
  <c r="AD41" i="24"/>
  <c r="AB41" i="24"/>
  <c r="Z41" i="24"/>
  <c r="X41" i="24"/>
  <c r="V41" i="24"/>
  <c r="T41" i="24"/>
  <c r="R41" i="24"/>
  <c r="P41" i="24"/>
  <c r="AL40" i="24"/>
  <c r="AJ40" i="24"/>
  <c r="AH40" i="24"/>
  <c r="AF40" i="24"/>
  <c r="AD40" i="24"/>
  <c r="AB40" i="24"/>
  <c r="Z40" i="24"/>
  <c r="X40" i="24"/>
  <c r="V40" i="24"/>
  <c r="T40" i="24"/>
  <c r="R40" i="24"/>
  <c r="P40" i="24"/>
  <c r="AM40" i="24" s="1"/>
  <c r="AL39" i="24"/>
  <c r="AJ39" i="24"/>
  <c r="AH39" i="24"/>
  <c r="AF39" i="24"/>
  <c r="AD39" i="24"/>
  <c r="AB39" i="24"/>
  <c r="Z39" i="24"/>
  <c r="X39" i="24"/>
  <c r="V39" i="24"/>
  <c r="T39" i="24"/>
  <c r="R39" i="24"/>
  <c r="P39" i="24"/>
  <c r="AL38" i="24"/>
  <c r="AJ38" i="24"/>
  <c r="AH38" i="24"/>
  <c r="AF38" i="24"/>
  <c r="AD38" i="24"/>
  <c r="AB38" i="24"/>
  <c r="Z38" i="24"/>
  <c r="X38" i="24"/>
  <c r="V38" i="24"/>
  <c r="T38" i="24"/>
  <c r="R38" i="24"/>
  <c r="P38" i="24"/>
  <c r="AL37" i="24"/>
  <c r="AJ37" i="24"/>
  <c r="AH37" i="24"/>
  <c r="AF37" i="24"/>
  <c r="AD37" i="24"/>
  <c r="AB37" i="24"/>
  <c r="Z37" i="24"/>
  <c r="X37" i="24"/>
  <c r="V37" i="24"/>
  <c r="T37" i="24"/>
  <c r="R37" i="24"/>
  <c r="P37" i="24"/>
  <c r="AM37" i="24" s="1"/>
  <c r="AL36" i="24"/>
  <c r="AJ36" i="24"/>
  <c r="AH36" i="24"/>
  <c r="AF36" i="24"/>
  <c r="AD36" i="24"/>
  <c r="AB36" i="24"/>
  <c r="Z36" i="24"/>
  <c r="X36" i="24"/>
  <c r="V36" i="24"/>
  <c r="T36" i="24"/>
  <c r="R36" i="24"/>
  <c r="P36" i="24"/>
  <c r="AL35" i="24"/>
  <c r="AJ35" i="24"/>
  <c r="AH35" i="24"/>
  <c r="AF35" i="24"/>
  <c r="AD35" i="24"/>
  <c r="AB35" i="24"/>
  <c r="Z35" i="24"/>
  <c r="X35" i="24"/>
  <c r="V35" i="24"/>
  <c r="T35" i="24"/>
  <c r="R35" i="24"/>
  <c r="P35" i="24"/>
  <c r="AL34" i="24"/>
  <c r="AJ34" i="24"/>
  <c r="AH34" i="24"/>
  <c r="AF34" i="24"/>
  <c r="AD34" i="24"/>
  <c r="AB34" i="24"/>
  <c r="Z34" i="24"/>
  <c r="X34" i="24"/>
  <c r="V34" i="24"/>
  <c r="T34" i="24"/>
  <c r="R34" i="24"/>
  <c r="P34" i="24"/>
  <c r="AL33" i="24"/>
  <c r="AJ33" i="24"/>
  <c r="AH33" i="24"/>
  <c r="AF33" i="24"/>
  <c r="AD33" i="24"/>
  <c r="AB33" i="24"/>
  <c r="Z33" i="24"/>
  <c r="X33" i="24"/>
  <c r="V33" i="24"/>
  <c r="T33" i="24"/>
  <c r="R33" i="24"/>
  <c r="P33" i="24"/>
  <c r="AL32" i="24"/>
  <c r="AJ32" i="24"/>
  <c r="AH32" i="24"/>
  <c r="AF32" i="24"/>
  <c r="AD32" i="24"/>
  <c r="AB32" i="24"/>
  <c r="Z32" i="24"/>
  <c r="X32" i="24"/>
  <c r="V32" i="24"/>
  <c r="T32" i="24"/>
  <c r="R32" i="24"/>
  <c r="P32" i="24"/>
  <c r="AL31" i="24"/>
  <c r="AJ31" i="24"/>
  <c r="AH31" i="24"/>
  <c r="AF31" i="24"/>
  <c r="AD31" i="24"/>
  <c r="AB31" i="24"/>
  <c r="Z31" i="24"/>
  <c r="X31" i="24"/>
  <c r="V31" i="24"/>
  <c r="T31" i="24"/>
  <c r="R31" i="24"/>
  <c r="P31" i="24"/>
  <c r="AL30" i="24"/>
  <c r="AJ30" i="24"/>
  <c r="AH30" i="24"/>
  <c r="AF30" i="24"/>
  <c r="AD30" i="24"/>
  <c r="AB30" i="24"/>
  <c r="Z30" i="24"/>
  <c r="X30" i="24"/>
  <c r="V30" i="24"/>
  <c r="T30" i="24"/>
  <c r="R30" i="24"/>
  <c r="P30" i="24"/>
  <c r="AL29" i="24"/>
  <c r="AJ29" i="24"/>
  <c r="AH29" i="24"/>
  <c r="AF29" i="24"/>
  <c r="AD29" i="24"/>
  <c r="AB29" i="24"/>
  <c r="Z29" i="24"/>
  <c r="X29" i="24"/>
  <c r="V29" i="24"/>
  <c r="T29" i="24"/>
  <c r="R29" i="24"/>
  <c r="P29" i="24"/>
  <c r="AL28" i="24"/>
  <c r="AJ28" i="24"/>
  <c r="AH28" i="24"/>
  <c r="AF28" i="24"/>
  <c r="AD28" i="24"/>
  <c r="AB28" i="24"/>
  <c r="Z28" i="24"/>
  <c r="X28" i="24"/>
  <c r="V28" i="24"/>
  <c r="T28" i="24"/>
  <c r="R28" i="24"/>
  <c r="AM28" i="24" s="1"/>
  <c r="P28" i="24"/>
  <c r="AL27" i="24"/>
  <c r="AJ27" i="24"/>
  <c r="AH27" i="24"/>
  <c r="AF27" i="24"/>
  <c r="AD27" i="24"/>
  <c r="AB27" i="24"/>
  <c r="Z27" i="24"/>
  <c r="X27" i="24"/>
  <c r="V27" i="24"/>
  <c r="T27" i="24"/>
  <c r="R27" i="24"/>
  <c r="P27" i="24"/>
  <c r="AL26" i="24"/>
  <c r="AJ26" i="24"/>
  <c r="AH26" i="24"/>
  <c r="AF26" i="24"/>
  <c r="AD26" i="24"/>
  <c r="AB26" i="24"/>
  <c r="Z26" i="24"/>
  <c r="X26" i="24"/>
  <c r="V26" i="24"/>
  <c r="T26" i="24"/>
  <c r="R26" i="24"/>
  <c r="P26" i="24"/>
  <c r="AL25" i="24"/>
  <c r="AJ25" i="24"/>
  <c r="AH25" i="24"/>
  <c r="AF25" i="24"/>
  <c r="AD25" i="24"/>
  <c r="AB25" i="24"/>
  <c r="Z25" i="24"/>
  <c r="X25" i="24"/>
  <c r="V25" i="24"/>
  <c r="T25" i="24"/>
  <c r="R25" i="24"/>
  <c r="P25" i="24"/>
  <c r="AL24" i="24"/>
  <c r="AJ24" i="24"/>
  <c r="AH24" i="24"/>
  <c r="AF24" i="24"/>
  <c r="AD24" i="24"/>
  <c r="AB24" i="24"/>
  <c r="Z24" i="24"/>
  <c r="X24" i="24"/>
  <c r="V24" i="24"/>
  <c r="T24" i="24"/>
  <c r="R24" i="24"/>
  <c r="P24" i="24"/>
  <c r="AL23" i="24"/>
  <c r="AJ23" i="24"/>
  <c r="AH23" i="24"/>
  <c r="AF23" i="24"/>
  <c r="AD23" i="24"/>
  <c r="AB23" i="24"/>
  <c r="Z23" i="24"/>
  <c r="X23" i="24"/>
  <c r="V23" i="24"/>
  <c r="T23" i="24"/>
  <c r="R23" i="24"/>
  <c r="P23" i="24"/>
  <c r="AL22" i="24"/>
  <c r="AJ22" i="24"/>
  <c r="AH22" i="24"/>
  <c r="AF22" i="24"/>
  <c r="AD22" i="24"/>
  <c r="AB22" i="24"/>
  <c r="Z22" i="24"/>
  <c r="X22" i="24"/>
  <c r="V22" i="24"/>
  <c r="T22" i="24"/>
  <c r="R22" i="24"/>
  <c r="P22" i="24"/>
  <c r="AL21" i="24"/>
  <c r="AJ21" i="24"/>
  <c r="AH21" i="24"/>
  <c r="AF21" i="24"/>
  <c r="AD21" i="24"/>
  <c r="AB21" i="24"/>
  <c r="Z21" i="24"/>
  <c r="X21" i="24"/>
  <c r="V21" i="24"/>
  <c r="T21" i="24"/>
  <c r="R21" i="24"/>
  <c r="P21" i="24"/>
  <c r="AM21" i="24" s="1"/>
  <c r="AL20" i="24"/>
  <c r="AJ20" i="24"/>
  <c r="AH20" i="24"/>
  <c r="AF20" i="24"/>
  <c r="AD20" i="24"/>
  <c r="AB20" i="24"/>
  <c r="Z20" i="24"/>
  <c r="X20" i="24"/>
  <c r="V20" i="24"/>
  <c r="T20" i="24"/>
  <c r="R20" i="24"/>
  <c r="P20" i="24"/>
  <c r="AL19" i="24"/>
  <c r="AJ19" i="24"/>
  <c r="AH19" i="24"/>
  <c r="AF19" i="24"/>
  <c r="AD19" i="24"/>
  <c r="AB19" i="24"/>
  <c r="Z19" i="24"/>
  <c r="X19" i="24"/>
  <c r="V19" i="24"/>
  <c r="T19" i="24"/>
  <c r="R19" i="24"/>
  <c r="P19" i="24"/>
  <c r="AL18" i="24"/>
  <c r="AJ18" i="24"/>
  <c r="AH18" i="24"/>
  <c r="AF18" i="24"/>
  <c r="AD18" i="24"/>
  <c r="AB18" i="24"/>
  <c r="Z18" i="24"/>
  <c r="X18" i="24"/>
  <c r="V18" i="24"/>
  <c r="T18" i="24"/>
  <c r="R18" i="24"/>
  <c r="P18" i="24"/>
  <c r="AL17" i="24"/>
  <c r="AJ17" i="24"/>
  <c r="AH17" i="24"/>
  <c r="AF17" i="24"/>
  <c r="AD17" i="24"/>
  <c r="AB17" i="24"/>
  <c r="Z17" i="24"/>
  <c r="X17" i="24"/>
  <c r="V17" i="24"/>
  <c r="T17" i="24"/>
  <c r="R17" i="24"/>
  <c r="P17" i="24"/>
  <c r="AL16" i="24"/>
  <c r="AJ16" i="24"/>
  <c r="AH16" i="24"/>
  <c r="AF16" i="24"/>
  <c r="AD16" i="24"/>
  <c r="AB16" i="24"/>
  <c r="Z16" i="24"/>
  <c r="X16" i="24"/>
  <c r="V16" i="24"/>
  <c r="T16" i="24"/>
  <c r="R16" i="24"/>
  <c r="P16" i="24"/>
  <c r="AL15" i="24"/>
  <c r="AJ15" i="24"/>
  <c r="AH15" i="24"/>
  <c r="AF15" i="24"/>
  <c r="AD15" i="24"/>
  <c r="AB15" i="24"/>
  <c r="Z15" i="24"/>
  <c r="X15" i="24"/>
  <c r="V15" i="24"/>
  <c r="T15" i="24"/>
  <c r="R15" i="24"/>
  <c r="P15" i="24"/>
  <c r="AL14" i="24"/>
  <c r="AJ14" i="24"/>
  <c r="AH14" i="24"/>
  <c r="AF14" i="24"/>
  <c r="AD14" i="24"/>
  <c r="AB14" i="24"/>
  <c r="Z14" i="24"/>
  <c r="X14" i="24"/>
  <c r="V14" i="24"/>
  <c r="T14" i="24"/>
  <c r="R14" i="24"/>
  <c r="P14" i="24"/>
  <c r="AL13" i="24"/>
  <c r="AJ13" i="24"/>
  <c r="AH13" i="24"/>
  <c r="AF13" i="24"/>
  <c r="AD13" i="24"/>
  <c r="AB13" i="24"/>
  <c r="Z13" i="24"/>
  <c r="X13" i="24"/>
  <c r="V13" i="24"/>
  <c r="T13" i="24"/>
  <c r="R13" i="24"/>
  <c r="P13" i="24"/>
  <c r="AL12" i="24"/>
  <c r="AJ12" i="24"/>
  <c r="AH12" i="24"/>
  <c r="AF12" i="24"/>
  <c r="AD12" i="24"/>
  <c r="AB12" i="24"/>
  <c r="Z12" i="24"/>
  <c r="X12" i="24"/>
  <c r="V12" i="24"/>
  <c r="T12" i="24"/>
  <c r="R12" i="24"/>
  <c r="P12" i="24"/>
  <c r="AL11" i="24"/>
  <c r="AJ11" i="24"/>
  <c r="AH11" i="24"/>
  <c r="AF11" i="24"/>
  <c r="AD11" i="24"/>
  <c r="AB11" i="24"/>
  <c r="Z11" i="24"/>
  <c r="X11" i="24"/>
  <c r="V11" i="24"/>
  <c r="T11" i="24"/>
  <c r="R11" i="24"/>
  <c r="P11" i="24"/>
  <c r="AL10" i="24"/>
  <c r="AJ10" i="24"/>
  <c r="AH10" i="24"/>
  <c r="AF10" i="24"/>
  <c r="AD10" i="24"/>
  <c r="AB10" i="24"/>
  <c r="Z10" i="24"/>
  <c r="X10" i="24"/>
  <c r="V10" i="24"/>
  <c r="T10" i="24"/>
  <c r="R10" i="24"/>
  <c r="P10" i="24"/>
  <c r="AL9" i="24"/>
  <c r="AJ9" i="24"/>
  <c r="AH9" i="24"/>
  <c r="AF9" i="24"/>
  <c r="AD9" i="24"/>
  <c r="AB9" i="24"/>
  <c r="Z9" i="24"/>
  <c r="X9" i="24"/>
  <c r="V9" i="24"/>
  <c r="T9" i="24"/>
  <c r="R9" i="24"/>
  <c r="P9" i="24"/>
  <c r="AL8" i="24"/>
  <c r="AJ8" i="24"/>
  <c r="AH8" i="24"/>
  <c r="AF8" i="24"/>
  <c r="AD8" i="24"/>
  <c r="AB8" i="24"/>
  <c r="Z8" i="24"/>
  <c r="X8" i="24"/>
  <c r="V8" i="24"/>
  <c r="T8" i="24"/>
  <c r="AM8" i="24" s="1"/>
  <c r="R8" i="24"/>
  <c r="P8" i="24"/>
  <c r="AL7" i="24"/>
  <c r="AK100" i="24" s="1"/>
  <c r="AL110" i="24" s="1"/>
  <c r="AJ7" i="24"/>
  <c r="AH7" i="24"/>
  <c r="AF7" i="24"/>
  <c r="AD7" i="24"/>
  <c r="AB7" i="24"/>
  <c r="Z7" i="24"/>
  <c r="X7" i="24"/>
  <c r="V7" i="24"/>
  <c r="U100" i="24" s="1"/>
  <c r="V110" i="24" s="1"/>
  <c r="T7" i="24"/>
  <c r="R7" i="24"/>
  <c r="P7" i="24"/>
  <c r="AL6" i="24"/>
  <c r="AJ6" i="24"/>
  <c r="AH6" i="24"/>
  <c r="AF6" i="24"/>
  <c r="AD6" i="24"/>
  <c r="AC100" i="24" s="1"/>
  <c r="AD110" i="24" s="1"/>
  <c r="AB6" i="24"/>
  <c r="Z6" i="24"/>
  <c r="X6" i="24"/>
  <c r="V6" i="24"/>
  <c r="T6" i="24"/>
  <c r="R6" i="24"/>
  <c r="P6" i="24"/>
  <c r="AN28" i="1" l="1"/>
  <c r="AA29" i="1"/>
  <c r="AE29" i="1"/>
  <c r="Q29" i="1"/>
  <c r="AG29" i="1"/>
  <c r="W29" i="1"/>
  <c r="AM29" i="1"/>
  <c r="S29" i="1"/>
  <c r="U29" i="1"/>
  <c r="Y29" i="1"/>
  <c r="AC29" i="1"/>
  <c r="AI29" i="1"/>
  <c r="AK29" i="1"/>
  <c r="Z210" i="1"/>
  <c r="T210" i="1"/>
  <c r="AL210" i="1"/>
  <c r="AF210" i="1"/>
  <c r="V210" i="1"/>
  <c r="P210" i="1"/>
  <c r="AB210" i="1"/>
  <c r="AH210" i="1"/>
  <c r="X210" i="1"/>
  <c r="AD210" i="1"/>
  <c r="R210" i="1"/>
  <c r="AJ210" i="1"/>
  <c r="O100" i="24"/>
  <c r="P110" i="24" s="1"/>
  <c r="AM10" i="24"/>
  <c r="AM13" i="24"/>
  <c r="AM16" i="24"/>
  <c r="AM18" i="24"/>
  <c r="AM27" i="24"/>
  <c r="Q100" i="24"/>
  <c r="R110" i="24" s="1"/>
  <c r="AG100" i="24"/>
  <c r="AH110" i="24" s="1"/>
  <c r="AM20" i="24"/>
  <c r="AM24" i="24"/>
  <c r="AM26" i="24"/>
  <c r="AM29" i="24"/>
  <c r="AM32" i="24"/>
  <c r="AM34" i="24"/>
  <c r="AM43" i="24"/>
  <c r="AM51" i="24"/>
  <c r="AM59" i="24"/>
  <c r="AM36" i="24"/>
  <c r="AM58" i="24"/>
  <c r="AM44" i="24"/>
  <c r="AM52" i="24"/>
  <c r="AM60" i="24"/>
  <c r="AM64" i="24"/>
  <c r="AM66" i="24"/>
  <c r="AM6" i="24"/>
  <c r="AM7" i="24"/>
  <c r="AM9" i="24"/>
  <c r="AM14" i="24"/>
  <c r="AM15" i="24"/>
  <c r="AM17" i="24"/>
  <c r="AM68" i="24"/>
  <c r="AM72" i="24"/>
  <c r="AM74" i="24"/>
  <c r="AM77" i="24"/>
  <c r="AM80" i="24"/>
  <c r="AM82" i="24"/>
  <c r="AM85" i="24"/>
  <c r="AM88" i="24"/>
  <c r="AM90" i="24"/>
  <c r="AM93" i="24"/>
  <c r="AM96" i="24"/>
  <c r="AM98" i="24"/>
  <c r="AN109" i="24"/>
  <c r="AM22" i="24"/>
  <c r="AM30" i="24"/>
  <c r="AM76" i="24"/>
  <c r="Y100" i="24"/>
  <c r="Z110" i="24" s="1"/>
  <c r="AM23" i="24"/>
  <c r="AM25" i="24"/>
  <c r="AM31" i="24"/>
  <c r="AM33" i="24"/>
  <c r="AM84" i="24"/>
  <c r="AM92" i="24"/>
  <c r="AM109" i="24"/>
  <c r="S100" i="24"/>
  <c r="T110" i="24" s="1"/>
  <c r="AI100" i="24"/>
  <c r="AJ110" i="24" s="1"/>
  <c r="AA100" i="24"/>
  <c r="AB110" i="24" s="1"/>
  <c r="AM38" i="24"/>
  <c r="AM39" i="24"/>
  <c r="AM41" i="24"/>
  <c r="AM46" i="24"/>
  <c r="AM47" i="24"/>
  <c r="AM49" i="24"/>
  <c r="AM54" i="24"/>
  <c r="AM55" i="24"/>
  <c r="AM57" i="24"/>
  <c r="AM11" i="24"/>
  <c r="AM19" i="24"/>
  <c r="AM62" i="24"/>
  <c r="AM63" i="24"/>
  <c r="AM65" i="24"/>
  <c r="AE100" i="24"/>
  <c r="AF110" i="24" s="1"/>
  <c r="AM12" i="24"/>
  <c r="AM35" i="24"/>
  <c r="AM70" i="24"/>
  <c r="AM73" i="24"/>
  <c r="AM75" i="24"/>
  <c r="AM78" i="24"/>
  <c r="AM81" i="24"/>
  <c r="AM83" i="24"/>
  <c r="AM86" i="24"/>
  <c r="AM89" i="24"/>
  <c r="AM91" i="24"/>
  <c r="AM94" i="24"/>
  <c r="AM97" i="24"/>
  <c r="AM99" i="24"/>
  <c r="AM100" i="24"/>
  <c r="AN110" i="24" s="1"/>
  <c r="W100" i="24"/>
  <c r="X110" i="24" s="1"/>
  <c r="AN29" i="1" l="1"/>
  <c r="Q30" i="1"/>
  <c r="AG30" i="1"/>
  <c r="U30" i="1"/>
  <c r="AK30" i="1"/>
  <c r="W30" i="1"/>
  <c r="AM30" i="1"/>
  <c r="AC30" i="1"/>
  <c r="S30" i="1"/>
  <c r="Y30" i="1"/>
  <c r="AA30" i="1"/>
  <c r="AE30" i="1"/>
  <c r="AI30" i="1"/>
  <c r="AN210" i="1"/>
  <c r="AN30" i="1" l="1"/>
  <c r="Y31" i="1"/>
  <c r="AC31" i="1"/>
  <c r="AE31" i="1"/>
  <c r="U31" i="1"/>
  <c r="AK31" i="1"/>
  <c r="W31" i="1"/>
  <c r="AA31" i="1"/>
  <c r="AG31" i="1"/>
  <c r="AI31" i="1"/>
  <c r="AM31" i="1"/>
  <c r="Q31" i="1"/>
  <c r="S31" i="1"/>
  <c r="AM7" i="1"/>
  <c r="AM8" i="1"/>
  <c r="AM9" i="1"/>
  <c r="AM10" i="1"/>
  <c r="AM11" i="1"/>
  <c r="AM12" i="1"/>
  <c r="AM13" i="1"/>
  <c r="AK7" i="1"/>
  <c r="AK8" i="1"/>
  <c r="AK9" i="1"/>
  <c r="AK10" i="1"/>
  <c r="AK11" i="1"/>
  <c r="AK12" i="1"/>
  <c r="AK13" i="1"/>
  <c r="AI7" i="1"/>
  <c r="AI8" i="1"/>
  <c r="AI9" i="1"/>
  <c r="AI10" i="1"/>
  <c r="AI11" i="1"/>
  <c r="AI12" i="1"/>
  <c r="AI13" i="1"/>
  <c r="AG7" i="1"/>
  <c r="AG8" i="1"/>
  <c r="AG9" i="1"/>
  <c r="AG10" i="1"/>
  <c r="AG11" i="1"/>
  <c r="AG12" i="1"/>
  <c r="AG13" i="1"/>
  <c r="AE7" i="1"/>
  <c r="AE8" i="1"/>
  <c r="AE9" i="1"/>
  <c r="AE10" i="1"/>
  <c r="AE11" i="1"/>
  <c r="AE12" i="1"/>
  <c r="AE13" i="1"/>
  <c r="AC7" i="1"/>
  <c r="AC8" i="1"/>
  <c r="AC9" i="1"/>
  <c r="AC10" i="1"/>
  <c r="AC11" i="1"/>
  <c r="AC12" i="1"/>
  <c r="AC13" i="1"/>
  <c r="AA7" i="1"/>
  <c r="AA8" i="1"/>
  <c r="AA9" i="1"/>
  <c r="AA10" i="1"/>
  <c r="AA11" i="1"/>
  <c r="AA12" i="1"/>
  <c r="AA13" i="1"/>
  <c r="Y7" i="1"/>
  <c r="Y8" i="1"/>
  <c r="Y9" i="1"/>
  <c r="Y10" i="1"/>
  <c r="Y11" i="1"/>
  <c r="Y12" i="1"/>
  <c r="Y13" i="1"/>
  <c r="W7" i="1"/>
  <c r="W8" i="1"/>
  <c r="W9" i="1"/>
  <c r="W10" i="1"/>
  <c r="W11" i="1"/>
  <c r="W12" i="1"/>
  <c r="W13" i="1"/>
  <c r="U7" i="1"/>
  <c r="U8" i="1"/>
  <c r="U9" i="1"/>
  <c r="U10" i="1"/>
  <c r="U11" i="1"/>
  <c r="U12" i="1"/>
  <c r="U13" i="1"/>
  <c r="U6" i="1"/>
  <c r="S7" i="1"/>
  <c r="S10" i="1"/>
  <c r="S11" i="1"/>
  <c r="S12" i="1"/>
  <c r="S13" i="1"/>
  <c r="Q7" i="1"/>
  <c r="Q8" i="1"/>
  <c r="Q9" i="1"/>
  <c r="Q10" i="1"/>
  <c r="Q11" i="1"/>
  <c r="Q12" i="1"/>
  <c r="Q13" i="1"/>
  <c r="AN31" i="1" l="1"/>
  <c r="Q32" i="1"/>
  <c r="AG32" i="1"/>
  <c r="U32" i="1"/>
  <c r="AK32" i="1"/>
  <c r="W32" i="1"/>
  <c r="AM32" i="1"/>
  <c r="AC32" i="1"/>
  <c r="AE32" i="1"/>
  <c r="AI32" i="1"/>
  <c r="S32" i="1"/>
  <c r="Y32" i="1"/>
  <c r="AA32" i="1"/>
  <c r="AN13" i="1"/>
  <c r="AN12" i="1"/>
  <c r="AN10" i="1"/>
  <c r="AN7" i="1"/>
  <c r="AN8" i="1"/>
  <c r="AN11" i="1"/>
  <c r="AN9" i="1"/>
  <c r="AN32" i="1" l="1"/>
  <c r="Y33" i="1"/>
  <c r="AC33" i="1"/>
  <c r="AE33" i="1"/>
  <c r="U33" i="1"/>
  <c r="AK33" i="1"/>
  <c r="AM33" i="1"/>
  <c r="Q33" i="1"/>
  <c r="S33" i="1"/>
  <c r="W33" i="1"/>
  <c r="AA33" i="1"/>
  <c r="AG33" i="1"/>
  <c r="AI33" i="1"/>
  <c r="S216" i="1"/>
  <c r="Q34" i="1" l="1"/>
  <c r="AG34" i="1"/>
  <c r="U34" i="1"/>
  <c r="AK34" i="1"/>
  <c r="W34" i="1"/>
  <c r="AM34" i="1"/>
  <c r="AC34" i="1"/>
  <c r="S34" i="1"/>
  <c r="Y34" i="1"/>
  <c r="AA34" i="1"/>
  <c r="AE34" i="1"/>
  <c r="AI34" i="1"/>
  <c r="AN33" i="1"/>
  <c r="Q6" i="1"/>
  <c r="S6" i="1"/>
  <c r="W6" i="1"/>
  <c r="Y6" i="1"/>
  <c r="AA6" i="1"/>
  <c r="AC6" i="1"/>
  <c r="AE6" i="1"/>
  <c r="AG6" i="1"/>
  <c r="AI6" i="1"/>
  <c r="AK6" i="1"/>
  <c r="AM6" i="1"/>
  <c r="AM216" i="1"/>
  <c r="AK216" i="1"/>
  <c r="AI216" i="1"/>
  <c r="AL216" i="1"/>
  <c r="AJ216" i="1"/>
  <c r="AH216" i="1"/>
  <c r="AG216" i="1"/>
  <c r="AF216" i="1"/>
  <c r="AE216" i="1"/>
  <c r="AD216" i="1"/>
  <c r="AC216" i="1"/>
  <c r="AB216" i="1"/>
  <c r="AA216" i="1"/>
  <c r="Z216" i="1"/>
  <c r="Y216" i="1"/>
  <c r="X216" i="1"/>
  <c r="W216" i="1"/>
  <c r="U216" i="1"/>
  <c r="V216" i="1"/>
  <c r="T216" i="1"/>
  <c r="R216" i="1"/>
  <c r="AN34" i="1" l="1"/>
  <c r="Y35" i="1"/>
  <c r="AC35" i="1"/>
  <c r="AE35" i="1"/>
  <c r="U35" i="1"/>
  <c r="AK35" i="1"/>
  <c r="W35" i="1"/>
  <c r="AA35" i="1"/>
  <c r="AG35" i="1"/>
  <c r="AI35" i="1"/>
  <c r="AM35" i="1"/>
  <c r="Q35" i="1"/>
  <c r="S35" i="1"/>
  <c r="AO216" i="1"/>
  <c r="AN6" i="1"/>
  <c r="AN35" i="1" l="1"/>
  <c r="Q36" i="1"/>
  <c r="AG36" i="1"/>
  <c r="U36" i="1"/>
  <c r="AK36" i="1"/>
  <c r="W36" i="1"/>
  <c r="AM36" i="1"/>
  <c r="AC36" i="1"/>
  <c r="AE36" i="1"/>
  <c r="AI36" i="1"/>
  <c r="S36" i="1"/>
  <c r="Y36" i="1"/>
  <c r="AA36" i="1"/>
  <c r="AN36" i="1" l="1"/>
  <c r="Y37" i="1"/>
  <c r="AC37" i="1"/>
  <c r="AE37" i="1"/>
  <c r="U37" i="1"/>
  <c r="AK37" i="1"/>
  <c r="AM37" i="1"/>
  <c r="Q37" i="1"/>
  <c r="S37" i="1"/>
  <c r="W37" i="1"/>
  <c r="AA37" i="1"/>
  <c r="AG37" i="1"/>
  <c r="AI37" i="1"/>
  <c r="AE38" i="1" l="1"/>
  <c r="S38" i="1"/>
  <c r="AI38" i="1"/>
  <c r="U38" i="1"/>
  <c r="AK38" i="1"/>
  <c r="AA38" i="1"/>
  <c r="Q38" i="1"/>
  <c r="W38" i="1"/>
  <c r="Y38" i="1"/>
  <c r="AC38" i="1"/>
  <c r="AG38" i="1"/>
  <c r="AM38" i="1"/>
  <c r="AN37" i="1"/>
  <c r="W39" i="1" l="1"/>
  <c r="AM39" i="1"/>
  <c r="AA39" i="1"/>
  <c r="AC39" i="1"/>
  <c r="S39" i="1"/>
  <c r="AI39" i="1"/>
  <c r="U39" i="1"/>
  <c r="Y39" i="1"/>
  <c r="AE39" i="1"/>
  <c r="AG39" i="1"/>
  <c r="AK39" i="1"/>
  <c r="Q39" i="1"/>
  <c r="AN38" i="1"/>
  <c r="C34" i="21"/>
  <c r="AE40" i="1" l="1"/>
  <c r="S40" i="1"/>
  <c r="AI40" i="1"/>
  <c r="U40" i="1"/>
  <c r="AK40" i="1"/>
  <c r="AA40" i="1"/>
  <c r="AC40" i="1"/>
  <c r="AG40" i="1"/>
  <c r="AM40" i="1"/>
  <c r="Q40" i="1"/>
  <c r="W40" i="1"/>
  <c r="Y40" i="1"/>
  <c r="AN39" i="1"/>
  <c r="C33" i="21"/>
  <c r="I34" i="21"/>
  <c r="I33" i="21"/>
  <c r="E11" i="29"/>
  <c r="M11" i="29"/>
  <c r="O11" i="29" s="1"/>
  <c r="H12" i="29" s="1"/>
  <c r="D12" i="29" s="1"/>
  <c r="W41" i="1" l="1"/>
  <c r="AM41" i="1"/>
  <c r="AA41" i="1"/>
  <c r="AC41" i="1"/>
  <c r="S41" i="1"/>
  <c r="AI41" i="1"/>
  <c r="AK41" i="1"/>
  <c r="Q41" i="1"/>
  <c r="U41" i="1"/>
  <c r="Y41" i="1"/>
  <c r="AE41" i="1"/>
  <c r="AG41" i="1"/>
  <c r="AN40" i="1"/>
  <c r="E12" i="29"/>
  <c r="AN41" i="1" l="1"/>
  <c r="AE42" i="1"/>
  <c r="S42" i="1"/>
  <c r="AI42" i="1"/>
  <c r="U42" i="1"/>
  <c r="AK42" i="1"/>
  <c r="AA42" i="1"/>
  <c r="Q42" i="1"/>
  <c r="W42" i="1"/>
  <c r="Y42" i="1"/>
  <c r="AC42" i="1"/>
  <c r="AG42" i="1"/>
  <c r="AM42" i="1"/>
  <c r="W43" i="1" l="1"/>
  <c r="AM43" i="1"/>
  <c r="AA43" i="1"/>
  <c r="AC43" i="1"/>
  <c r="S43" i="1"/>
  <c r="AI43" i="1"/>
  <c r="U43" i="1"/>
  <c r="Y43" i="1"/>
  <c r="AE43" i="1"/>
  <c r="AG43" i="1"/>
  <c r="AK43" i="1"/>
  <c r="Q43" i="1"/>
  <c r="AN42" i="1"/>
  <c r="AN43" i="1" l="1"/>
  <c r="AE44" i="1"/>
  <c r="S44" i="1"/>
  <c r="AI44" i="1"/>
  <c r="U44" i="1"/>
  <c r="AK44" i="1"/>
  <c r="AA44" i="1"/>
  <c r="AC44" i="1"/>
  <c r="AG44" i="1"/>
  <c r="AM44" i="1"/>
  <c r="Q44" i="1"/>
  <c r="W44" i="1"/>
  <c r="Y44" i="1"/>
  <c r="W45" i="1" l="1"/>
  <c r="AM45" i="1"/>
  <c r="AA45" i="1"/>
  <c r="AC45" i="1"/>
  <c r="S45" i="1"/>
  <c r="AI45" i="1"/>
  <c r="AK45" i="1"/>
  <c r="Q45" i="1"/>
  <c r="U45" i="1"/>
  <c r="Y45" i="1"/>
  <c r="AE45" i="1"/>
  <c r="AG45" i="1"/>
  <c r="AN44" i="1"/>
  <c r="AN45" i="1" l="1"/>
  <c r="AC46" i="1"/>
  <c r="Q46" i="1"/>
  <c r="AG46" i="1"/>
  <c r="S46" i="1"/>
  <c r="AI46" i="1"/>
  <c r="Y46" i="1"/>
  <c r="U46" i="1"/>
  <c r="W46" i="1"/>
  <c r="AA46" i="1"/>
  <c r="AE46" i="1"/>
  <c r="AK46" i="1"/>
  <c r="AM46" i="1"/>
  <c r="D42" i="26"/>
  <c r="D45" i="25"/>
  <c r="U47" i="1" l="1"/>
  <c r="AK47" i="1"/>
  <c r="Y47" i="1"/>
  <c r="AA47" i="1"/>
  <c r="Q47" i="1"/>
  <c r="AG47" i="1"/>
  <c r="S47" i="1"/>
  <c r="W47" i="1"/>
  <c r="AC47" i="1"/>
  <c r="AE47" i="1"/>
  <c r="AI47" i="1"/>
  <c r="AM47" i="1"/>
  <c r="AN46" i="1"/>
  <c r="AC48" i="1" l="1"/>
  <c r="Q48" i="1"/>
  <c r="AG48" i="1"/>
  <c r="S48" i="1"/>
  <c r="AI48" i="1"/>
  <c r="Y48" i="1"/>
  <c r="AA48" i="1"/>
  <c r="AE48" i="1"/>
  <c r="AK48" i="1"/>
  <c r="AM48" i="1"/>
  <c r="U48" i="1"/>
  <c r="W48" i="1"/>
  <c r="AN47" i="1"/>
  <c r="U49" i="1" l="1"/>
  <c r="AK49" i="1"/>
  <c r="Y49" i="1"/>
  <c r="AA49" i="1"/>
  <c r="Q49" i="1"/>
  <c r="AG49" i="1"/>
  <c r="AI49" i="1"/>
  <c r="AM49" i="1"/>
  <c r="S49" i="1"/>
  <c r="W49" i="1"/>
  <c r="AC49" i="1"/>
  <c r="AE49" i="1"/>
  <c r="AN48" i="1"/>
  <c r="AC50" i="1" l="1"/>
  <c r="Q50" i="1"/>
  <c r="AG50" i="1"/>
  <c r="S50" i="1"/>
  <c r="AI50" i="1"/>
  <c r="Y50" i="1"/>
  <c r="U50" i="1"/>
  <c r="W50" i="1"/>
  <c r="AA50" i="1"/>
  <c r="AE50" i="1"/>
  <c r="AK50" i="1"/>
  <c r="AM50" i="1"/>
  <c r="AN49" i="1"/>
  <c r="AN50" i="1" l="1"/>
  <c r="U51" i="1"/>
  <c r="AK51" i="1"/>
  <c r="Y51" i="1"/>
  <c r="AA51" i="1"/>
  <c r="Q51" i="1"/>
  <c r="AG51" i="1"/>
  <c r="S51" i="1"/>
  <c r="W51" i="1"/>
  <c r="AC51" i="1"/>
  <c r="AE51" i="1"/>
  <c r="AI51" i="1"/>
  <c r="AM51" i="1"/>
  <c r="AN51" i="1" l="1"/>
  <c r="AC52" i="1"/>
  <c r="Q52" i="1"/>
  <c r="AG52" i="1"/>
  <c r="S52" i="1"/>
  <c r="AI52" i="1"/>
  <c r="Y52" i="1"/>
  <c r="AA52" i="1"/>
  <c r="AE52" i="1"/>
  <c r="AK52" i="1"/>
  <c r="AM52" i="1"/>
  <c r="U52" i="1"/>
  <c r="W52" i="1"/>
  <c r="AN52" i="1" l="1"/>
  <c r="U53" i="1"/>
  <c r="AK53" i="1"/>
  <c r="Y53" i="1"/>
  <c r="AA53" i="1"/>
  <c r="Q53" i="1"/>
  <c r="AG53" i="1"/>
  <c r="AI53" i="1"/>
  <c r="AM53" i="1"/>
  <c r="S53" i="1"/>
  <c r="W53" i="1"/>
  <c r="AC53" i="1"/>
  <c r="AE53" i="1"/>
  <c r="AC54" i="1" l="1"/>
  <c r="Q54" i="1"/>
  <c r="AG54" i="1"/>
  <c r="S54" i="1"/>
  <c r="AI54" i="1"/>
  <c r="Y54" i="1"/>
  <c r="U54" i="1"/>
  <c r="W54" i="1"/>
  <c r="AA54" i="1"/>
  <c r="AE54" i="1"/>
  <c r="AK54" i="1"/>
  <c r="AM54" i="1"/>
  <c r="AN53" i="1"/>
  <c r="AN54" i="1" l="1"/>
  <c r="U55" i="1"/>
  <c r="AK55" i="1"/>
  <c r="Y55" i="1"/>
  <c r="AA55" i="1"/>
  <c r="Q55" i="1"/>
  <c r="AG55" i="1"/>
  <c r="S55" i="1"/>
  <c r="W55" i="1"/>
  <c r="AC55" i="1"/>
  <c r="AE55" i="1"/>
  <c r="AI55" i="1"/>
  <c r="AM55" i="1"/>
  <c r="AC56" i="1" l="1"/>
  <c r="Q56" i="1"/>
  <c r="AG56" i="1"/>
  <c r="S56" i="1"/>
  <c r="AI56" i="1"/>
  <c r="Y56" i="1"/>
  <c r="AA56" i="1"/>
  <c r="AE56" i="1"/>
  <c r="AK56" i="1"/>
  <c r="AM56" i="1"/>
  <c r="U56" i="1"/>
  <c r="W56" i="1"/>
  <c r="AN55" i="1"/>
  <c r="U57" i="1" l="1"/>
  <c r="AK57" i="1"/>
  <c r="Y57" i="1"/>
  <c r="AA57" i="1"/>
  <c r="Q57" i="1"/>
  <c r="AG57" i="1"/>
  <c r="AI57" i="1"/>
  <c r="AM57" i="1"/>
  <c r="S57" i="1"/>
  <c r="W57" i="1"/>
  <c r="AC57" i="1"/>
  <c r="AE57" i="1"/>
  <c r="AN56" i="1"/>
  <c r="AC58" i="1" l="1"/>
  <c r="Q58" i="1"/>
  <c r="AG58" i="1"/>
  <c r="S58" i="1"/>
  <c r="AI58" i="1"/>
  <c r="Y58" i="1"/>
  <c r="U58" i="1"/>
  <c r="W58" i="1"/>
  <c r="AA58" i="1"/>
  <c r="AE58" i="1"/>
  <c r="AK58" i="1"/>
  <c r="AM58" i="1"/>
  <c r="AN57" i="1"/>
  <c r="U59" i="1" l="1"/>
  <c r="AK59" i="1"/>
  <c r="Y59" i="1"/>
  <c r="AA59" i="1"/>
  <c r="Q59" i="1"/>
  <c r="AG59" i="1"/>
  <c r="S59" i="1"/>
  <c r="W59" i="1"/>
  <c r="AC59" i="1"/>
  <c r="AE59" i="1"/>
  <c r="AI59" i="1"/>
  <c r="AM59" i="1"/>
  <c r="AN58" i="1"/>
  <c r="AC60" i="1" l="1"/>
  <c r="Q60" i="1"/>
  <c r="AG60" i="1"/>
  <c r="S60" i="1"/>
  <c r="AI60" i="1"/>
  <c r="Y60" i="1"/>
  <c r="AA60" i="1"/>
  <c r="AE60" i="1"/>
  <c r="AK60" i="1"/>
  <c r="AM60" i="1"/>
  <c r="U60" i="1"/>
  <c r="W60" i="1"/>
  <c r="AN59" i="1"/>
  <c r="U61" i="1" l="1"/>
  <c r="AK61" i="1"/>
  <c r="Y61" i="1"/>
  <c r="AA61" i="1"/>
  <c r="Q61" i="1"/>
  <c r="AG61" i="1"/>
  <c r="AI61" i="1"/>
  <c r="AM61" i="1"/>
  <c r="S61" i="1"/>
  <c r="W61" i="1"/>
  <c r="AC61" i="1"/>
  <c r="AE61" i="1"/>
  <c r="AN60" i="1"/>
  <c r="AC62" i="1" l="1"/>
  <c r="Q62" i="1"/>
  <c r="AG62" i="1"/>
  <c r="S62" i="1"/>
  <c r="AI62" i="1"/>
  <c r="Y62" i="1"/>
  <c r="U62" i="1"/>
  <c r="W62" i="1"/>
  <c r="AE62" i="1"/>
  <c r="AK62" i="1"/>
  <c r="AM62" i="1"/>
  <c r="AA62" i="1"/>
  <c r="AN61" i="1"/>
  <c r="AN62" i="1" l="1"/>
  <c r="U63" i="1"/>
  <c r="AK63" i="1"/>
  <c r="Y63" i="1"/>
  <c r="AA63" i="1"/>
  <c r="Q63" i="1"/>
  <c r="AG63" i="1"/>
  <c r="S63" i="1"/>
  <c r="W63" i="1"/>
  <c r="AC63" i="1"/>
  <c r="AE63" i="1"/>
  <c r="AM63" i="1"/>
  <c r="AI63" i="1"/>
  <c r="AC64" i="1" l="1"/>
  <c r="Q64" i="1"/>
  <c r="AG64" i="1"/>
  <c r="S64" i="1"/>
  <c r="AI64" i="1"/>
  <c r="Y64" i="1"/>
  <c r="AA64" i="1"/>
  <c r="AE64" i="1"/>
  <c r="AK64" i="1"/>
  <c r="AM64" i="1"/>
  <c r="U64" i="1"/>
  <c r="W64" i="1"/>
  <c r="AN63" i="1"/>
  <c r="AN64" i="1" l="1"/>
  <c r="U65" i="1"/>
  <c r="AK65" i="1"/>
  <c r="Y65" i="1"/>
  <c r="AA65" i="1"/>
  <c r="Q65" i="1"/>
  <c r="AG65" i="1"/>
  <c r="AI65" i="1"/>
  <c r="AM65" i="1"/>
  <c r="W65" i="1"/>
  <c r="AC65" i="1"/>
  <c r="S65" i="1"/>
  <c r="AE65" i="1"/>
  <c r="AN65" i="1" l="1"/>
  <c r="AC66" i="1"/>
  <c r="Q66" i="1"/>
  <c r="AG66" i="1"/>
  <c r="S66" i="1"/>
  <c r="AI66" i="1"/>
  <c r="Y66" i="1"/>
  <c r="U66" i="1"/>
  <c r="W66" i="1"/>
  <c r="AE66" i="1"/>
  <c r="AK66" i="1"/>
  <c r="AM66" i="1"/>
  <c r="AA66" i="1"/>
  <c r="AN66" i="1" l="1"/>
  <c r="U67" i="1"/>
  <c r="AK67" i="1"/>
  <c r="Q67" i="1"/>
  <c r="AI67" i="1"/>
  <c r="S67" i="1"/>
  <c r="AM67" i="1"/>
  <c r="W67" i="1"/>
  <c r="Y67" i="1"/>
  <c r="AC67" i="1"/>
  <c r="AE67" i="1"/>
  <c r="AG67" i="1"/>
  <c r="AA67" i="1"/>
  <c r="AC68" i="1" l="1"/>
  <c r="AE68" i="1"/>
  <c r="AG68" i="1"/>
  <c r="Q68" i="1"/>
  <c r="AI68" i="1"/>
  <c r="S68" i="1"/>
  <c r="AK68" i="1"/>
  <c r="W68" i="1"/>
  <c r="Y68" i="1"/>
  <c r="U68" i="1"/>
  <c r="AA68" i="1"/>
  <c r="AM68" i="1"/>
  <c r="AN67" i="1"/>
  <c r="AN68" i="1" l="1"/>
  <c r="U69" i="1"/>
  <c r="AK69" i="1"/>
  <c r="AA69" i="1"/>
  <c r="AC69" i="1"/>
  <c r="AE69" i="1"/>
  <c r="Q69" i="1"/>
  <c r="AI69" i="1"/>
  <c r="S69" i="1"/>
  <c r="AM69" i="1"/>
  <c r="W69" i="1"/>
  <c r="AG69" i="1"/>
  <c r="Y69" i="1"/>
  <c r="AN69" i="1" l="1"/>
  <c r="S70" i="1"/>
  <c r="AI70" i="1"/>
  <c r="U70" i="1"/>
  <c r="AK70" i="1"/>
  <c r="W70" i="1"/>
  <c r="AM70" i="1"/>
  <c r="AA70" i="1"/>
  <c r="AC70" i="1"/>
  <c r="Q70" i="1"/>
  <c r="Y70" i="1"/>
  <c r="AE70" i="1"/>
  <c r="AG70" i="1"/>
  <c r="AN70" i="1" l="1"/>
  <c r="AA71" i="1"/>
  <c r="AC71" i="1"/>
  <c r="AE71" i="1"/>
  <c r="S71" i="1"/>
  <c r="AI71" i="1"/>
  <c r="U71" i="1"/>
  <c r="AK71" i="1"/>
  <c r="AM71" i="1"/>
  <c r="Q71" i="1"/>
  <c r="Y71" i="1"/>
  <c r="W71" i="1"/>
  <c r="AG71" i="1"/>
  <c r="AN71" i="1" l="1"/>
  <c r="S72" i="1"/>
  <c r="AI72" i="1"/>
  <c r="U72" i="1"/>
  <c r="AK72" i="1"/>
  <c r="W72" i="1"/>
  <c r="AM72" i="1"/>
  <c r="AA72" i="1"/>
  <c r="AC72" i="1"/>
  <c r="Q72" i="1"/>
  <c r="Y72" i="1"/>
  <c r="AE72" i="1"/>
  <c r="AG72" i="1"/>
  <c r="AA73" i="1" l="1"/>
  <c r="AC73" i="1"/>
  <c r="AE73" i="1"/>
  <c r="S73" i="1"/>
  <c r="AI73" i="1"/>
  <c r="U73" i="1"/>
  <c r="AK73" i="1"/>
  <c r="AG73" i="1"/>
  <c r="AM73" i="1"/>
  <c r="W73" i="1"/>
  <c r="Y73" i="1"/>
  <c r="Q73" i="1"/>
  <c r="AN72" i="1"/>
  <c r="AN73" i="1" l="1"/>
  <c r="S74" i="1"/>
  <c r="AI74" i="1"/>
  <c r="U74" i="1"/>
  <c r="AK74" i="1"/>
  <c r="W74" i="1"/>
  <c r="AM74" i="1"/>
  <c r="AA74" i="1"/>
  <c r="AC74" i="1"/>
  <c r="Q74" i="1"/>
  <c r="Y74" i="1"/>
  <c r="AE74" i="1"/>
  <c r="AG74" i="1"/>
  <c r="AN74" i="1" l="1"/>
  <c r="AA75" i="1"/>
  <c r="AC75" i="1"/>
  <c r="S75" i="1"/>
  <c r="AI75" i="1"/>
  <c r="U75" i="1"/>
  <c r="AK75" i="1"/>
  <c r="Y75" i="1"/>
  <c r="AE75" i="1"/>
  <c r="AG75" i="1"/>
  <c r="AM75" i="1"/>
  <c r="Q75" i="1"/>
  <c r="W75" i="1"/>
  <c r="AN75" i="1" l="1"/>
  <c r="S76" i="1"/>
  <c r="AI76" i="1"/>
  <c r="U76" i="1"/>
  <c r="AK76" i="1"/>
  <c r="AA76" i="1"/>
  <c r="AC76" i="1"/>
  <c r="AG76" i="1"/>
  <c r="AM76" i="1"/>
  <c r="Q76" i="1"/>
  <c r="Y76" i="1"/>
  <c r="W76" i="1"/>
  <c r="AE76" i="1"/>
  <c r="AN76" i="1" l="1"/>
  <c r="AA77" i="1"/>
  <c r="AC77" i="1"/>
  <c r="S77" i="1"/>
  <c r="AI77" i="1"/>
  <c r="U77" i="1"/>
  <c r="AK77" i="1"/>
  <c r="Q77" i="1"/>
  <c r="W77" i="1"/>
  <c r="Y77" i="1"/>
  <c r="AG77" i="1"/>
  <c r="AE77" i="1"/>
  <c r="AM77" i="1"/>
  <c r="Q78" i="1" l="1"/>
  <c r="AG78" i="1"/>
  <c r="S78" i="1"/>
  <c r="AI78" i="1"/>
  <c r="Y78" i="1"/>
  <c r="AA78" i="1"/>
  <c r="U78" i="1"/>
  <c r="W78" i="1"/>
  <c r="AC78" i="1"/>
  <c r="AE78" i="1"/>
  <c r="AM78" i="1"/>
  <c r="AK78" i="1"/>
  <c r="AN77" i="1"/>
  <c r="Y79" i="1" l="1"/>
  <c r="AA79" i="1"/>
  <c r="Q79" i="1"/>
  <c r="AG79" i="1"/>
  <c r="S79" i="1"/>
  <c r="AI79" i="1"/>
  <c r="W79" i="1"/>
  <c r="AC79" i="1"/>
  <c r="AE79" i="1"/>
  <c r="AK79" i="1"/>
  <c r="AM79" i="1"/>
  <c r="U79" i="1"/>
  <c r="AN78" i="1"/>
  <c r="AN79" i="1" l="1"/>
  <c r="Q80" i="1"/>
  <c r="AG80" i="1"/>
  <c r="S80" i="1"/>
  <c r="AI80" i="1"/>
  <c r="Y80" i="1"/>
  <c r="AA80" i="1"/>
  <c r="AE80" i="1"/>
  <c r="AK80" i="1"/>
  <c r="AM80" i="1"/>
  <c r="W80" i="1"/>
  <c r="U80" i="1"/>
  <c r="AC80" i="1"/>
  <c r="AN80" i="1" l="1"/>
  <c r="Y81" i="1"/>
  <c r="AA81" i="1"/>
  <c r="Q81" i="1"/>
  <c r="AG81" i="1"/>
  <c r="S81" i="1"/>
  <c r="AI81" i="1"/>
  <c r="AM81" i="1"/>
  <c r="U81" i="1"/>
  <c r="W81" i="1"/>
  <c r="AE81" i="1"/>
  <c r="AC81" i="1"/>
  <c r="AK81" i="1"/>
  <c r="AN81" i="1" l="1"/>
  <c r="Q82" i="1"/>
  <c r="AG82" i="1"/>
  <c r="S82" i="1"/>
  <c r="AI82" i="1"/>
  <c r="Y82" i="1"/>
  <c r="AA82" i="1"/>
  <c r="U82" i="1"/>
  <c r="W82" i="1"/>
  <c r="AC82" i="1"/>
  <c r="AE82" i="1"/>
  <c r="AM82" i="1"/>
  <c r="AK82" i="1"/>
  <c r="AN82" i="1" l="1"/>
  <c r="Y83" i="1"/>
  <c r="AA83" i="1"/>
  <c r="Q83" i="1"/>
  <c r="AG83" i="1"/>
  <c r="S83" i="1"/>
  <c r="AI83" i="1"/>
  <c r="AC83" i="1"/>
  <c r="AE83" i="1"/>
  <c r="AK83" i="1"/>
  <c r="AM83" i="1"/>
  <c r="U83" i="1"/>
  <c r="W83" i="1"/>
  <c r="AN83" i="1" l="1"/>
  <c r="Q84" i="1"/>
  <c r="AG84" i="1"/>
  <c r="S84" i="1"/>
  <c r="AI84" i="1"/>
  <c r="Y84" i="1"/>
  <c r="AA84" i="1"/>
  <c r="AK84" i="1"/>
  <c r="AM84" i="1"/>
  <c r="W84" i="1"/>
  <c r="U84" i="1"/>
  <c r="AC84" i="1"/>
  <c r="AE84" i="1"/>
  <c r="AN84" i="1" l="1"/>
  <c r="Y85" i="1"/>
  <c r="AA85" i="1"/>
  <c r="Q85" i="1"/>
  <c r="AG85" i="1"/>
  <c r="S85" i="1"/>
  <c r="AI85" i="1"/>
  <c r="U85" i="1"/>
  <c r="W85" i="1"/>
  <c r="AE85" i="1"/>
  <c r="AC85" i="1"/>
  <c r="AM85" i="1"/>
  <c r="AK85" i="1"/>
  <c r="AN85" i="1" l="1"/>
  <c r="AE86" i="1"/>
  <c r="Q86" i="1"/>
  <c r="AG86" i="1"/>
  <c r="W86" i="1"/>
  <c r="AM86" i="1"/>
  <c r="Y86" i="1"/>
  <c r="S86" i="1"/>
  <c r="U86" i="1"/>
  <c r="AA86" i="1"/>
  <c r="AC86" i="1"/>
  <c r="AK86" i="1"/>
  <c r="AI86" i="1"/>
  <c r="AN86" i="1" l="1"/>
  <c r="W87" i="1"/>
  <c r="Y87" i="1"/>
  <c r="AE87" i="1"/>
  <c r="Q87" i="1"/>
  <c r="AG87" i="1"/>
  <c r="AA87" i="1"/>
  <c r="AC87" i="1"/>
  <c r="AI87" i="1"/>
  <c r="AK87" i="1"/>
  <c r="U87" i="1"/>
  <c r="AM87" i="1"/>
  <c r="S87" i="1"/>
  <c r="AN87" i="1" l="1"/>
  <c r="Q88" i="1"/>
  <c r="AG88" i="1"/>
  <c r="W88" i="1"/>
  <c r="Y88" i="1"/>
  <c r="AC88" i="1"/>
  <c r="AE88" i="1"/>
  <c r="AI88" i="1"/>
  <c r="AK88" i="1"/>
  <c r="S88" i="1"/>
  <c r="U88" i="1"/>
  <c r="AA88" i="1"/>
  <c r="AM88" i="1"/>
  <c r="AN88" i="1" l="1"/>
  <c r="Y89" i="1"/>
  <c r="Q89" i="1"/>
  <c r="AG89" i="1"/>
  <c r="AA89" i="1"/>
  <c r="AC89" i="1"/>
  <c r="AE89" i="1"/>
  <c r="AI89" i="1"/>
  <c r="S89" i="1"/>
  <c r="AM89" i="1"/>
  <c r="U89" i="1"/>
  <c r="W89" i="1"/>
  <c r="AK89" i="1"/>
  <c r="AN89" i="1" l="1"/>
  <c r="Q90" i="1"/>
  <c r="AG90" i="1"/>
  <c r="Y90" i="1"/>
  <c r="W90" i="1"/>
  <c r="AA90" i="1"/>
  <c r="AC90" i="1"/>
  <c r="AE90" i="1"/>
  <c r="AK90" i="1"/>
  <c r="S90" i="1"/>
  <c r="U90" i="1"/>
  <c r="AI90" i="1"/>
  <c r="AM90" i="1"/>
  <c r="AN90" i="1" l="1"/>
  <c r="Y91" i="1"/>
  <c r="Q91" i="1"/>
  <c r="AG91" i="1"/>
  <c r="U91" i="1"/>
  <c r="W91" i="1"/>
  <c r="AA91" i="1"/>
  <c r="AC91" i="1"/>
  <c r="AI91" i="1"/>
  <c r="AE91" i="1"/>
  <c r="AK91" i="1"/>
  <c r="S91" i="1"/>
  <c r="AM91" i="1"/>
  <c r="Q92" i="1" l="1"/>
  <c r="AG92" i="1"/>
  <c r="Y92" i="1"/>
  <c r="S92" i="1"/>
  <c r="AM92" i="1"/>
  <c r="U92" i="1"/>
  <c r="W92" i="1"/>
  <c r="AA92" i="1"/>
  <c r="AE92" i="1"/>
  <c r="AC92" i="1"/>
  <c r="AI92" i="1"/>
  <c r="AK92" i="1"/>
  <c r="AN91" i="1"/>
  <c r="AN92" i="1" l="1"/>
  <c r="Y93" i="1"/>
  <c r="Q93" i="1"/>
  <c r="AG93" i="1"/>
  <c r="AK93" i="1"/>
  <c r="S93" i="1"/>
  <c r="AM93" i="1"/>
  <c r="U93" i="1"/>
  <c r="W93" i="1"/>
  <c r="AC93" i="1"/>
  <c r="AA93" i="1"/>
  <c r="AI93" i="1"/>
  <c r="AE93" i="1"/>
  <c r="AN93" i="1" l="1"/>
  <c r="AE94" i="1"/>
  <c r="W94" i="1"/>
  <c r="AM94" i="1"/>
  <c r="AG94" i="1"/>
  <c r="AI94" i="1"/>
  <c r="Q94" i="1"/>
  <c r="AK94" i="1"/>
  <c r="S94" i="1"/>
  <c r="Y94" i="1"/>
  <c r="AC94" i="1"/>
  <c r="U94" i="1"/>
  <c r="AA94" i="1"/>
  <c r="AN94" i="1" l="1"/>
  <c r="W95" i="1"/>
  <c r="AM95" i="1"/>
  <c r="AE95" i="1"/>
  <c r="AC95" i="1"/>
  <c r="AG95" i="1"/>
  <c r="AI95" i="1"/>
  <c r="Q95" i="1"/>
  <c r="AK95" i="1"/>
  <c r="U95" i="1"/>
  <c r="S95" i="1"/>
  <c r="Y95" i="1"/>
  <c r="AA95" i="1"/>
  <c r="AN95" i="1" l="1"/>
  <c r="AE96" i="1"/>
  <c r="W96" i="1"/>
  <c r="AM96" i="1"/>
  <c r="AA96" i="1"/>
  <c r="AC96" i="1"/>
  <c r="AG96" i="1"/>
  <c r="AI96" i="1"/>
  <c r="S96" i="1"/>
  <c r="U96" i="1"/>
  <c r="Y96" i="1"/>
  <c r="Q96" i="1"/>
  <c r="AK96" i="1"/>
  <c r="AN96" i="1" l="1"/>
  <c r="W97" i="1"/>
  <c r="AM97" i="1"/>
  <c r="Y97" i="1"/>
  <c r="AA97" i="1"/>
  <c r="AC97" i="1"/>
  <c r="Q97" i="1"/>
  <c r="AG97" i="1"/>
  <c r="S97" i="1"/>
  <c r="U97" i="1"/>
  <c r="AE97" i="1"/>
  <c r="AI97" i="1"/>
  <c r="AK97" i="1"/>
  <c r="AN97" i="1" l="1"/>
  <c r="AE98" i="1"/>
  <c r="Q98" i="1"/>
  <c r="AG98" i="1"/>
  <c r="S98" i="1"/>
  <c r="AI98" i="1"/>
  <c r="U98" i="1"/>
  <c r="AK98" i="1"/>
  <c r="Y98" i="1"/>
  <c r="AM98" i="1"/>
  <c r="W98" i="1"/>
  <c r="AA98" i="1"/>
  <c r="AC98" i="1"/>
  <c r="AN98" i="1" l="1"/>
  <c r="W99" i="1"/>
  <c r="AM99" i="1"/>
  <c r="Y99" i="1"/>
  <c r="AA99" i="1"/>
  <c r="AC99" i="1"/>
  <c r="Q99" i="1"/>
  <c r="AG99" i="1"/>
  <c r="S99" i="1"/>
  <c r="U99" i="1"/>
  <c r="AE99" i="1"/>
  <c r="AK99" i="1"/>
  <c r="AI99" i="1"/>
  <c r="AN99" i="1" l="1"/>
  <c r="AE100" i="1"/>
  <c r="Q100" i="1"/>
  <c r="AG100" i="1"/>
  <c r="S100" i="1"/>
  <c r="AI100" i="1"/>
  <c r="U100" i="1"/>
  <c r="AK100" i="1"/>
  <c r="Y100" i="1"/>
  <c r="AC100" i="1"/>
  <c r="AM100" i="1"/>
  <c r="W100" i="1"/>
  <c r="AA100" i="1"/>
  <c r="AN100" i="1" l="1"/>
  <c r="W101" i="1"/>
  <c r="AM101" i="1"/>
  <c r="Y101" i="1"/>
  <c r="AA101" i="1"/>
  <c r="AC101" i="1"/>
  <c r="Q101" i="1"/>
  <c r="AG101" i="1"/>
  <c r="S101" i="1"/>
  <c r="U101" i="1"/>
  <c r="AI101" i="1"/>
  <c r="AK101" i="1"/>
  <c r="AE101" i="1"/>
  <c r="AN101" i="1" l="1"/>
  <c r="AC102" i="1"/>
  <c r="AE102" i="1"/>
  <c r="Q102" i="1"/>
  <c r="AG102" i="1"/>
  <c r="S102" i="1"/>
  <c r="AI102" i="1"/>
  <c r="W102" i="1"/>
  <c r="AM102" i="1"/>
  <c r="Y102" i="1"/>
  <c r="AA102" i="1"/>
  <c r="AK102" i="1"/>
  <c r="U102" i="1"/>
  <c r="AN102" i="1" l="1"/>
  <c r="U103" i="1"/>
  <c r="AK103" i="1"/>
  <c r="W103" i="1"/>
  <c r="AM103" i="1"/>
  <c r="Y103" i="1"/>
  <c r="AA103" i="1"/>
  <c r="AE103" i="1"/>
  <c r="Q103" i="1"/>
  <c r="AC103" i="1"/>
  <c r="AG103" i="1"/>
  <c r="S103" i="1"/>
  <c r="AI103" i="1"/>
  <c r="AN103" i="1" l="1"/>
  <c r="AC104" i="1"/>
  <c r="AE104" i="1"/>
  <c r="Q104" i="1"/>
  <c r="AG104" i="1"/>
  <c r="S104" i="1"/>
  <c r="AI104" i="1"/>
  <c r="W104" i="1"/>
  <c r="AM104" i="1"/>
  <c r="U104" i="1"/>
  <c r="Y104" i="1"/>
  <c r="AA104" i="1"/>
  <c r="AK104" i="1"/>
  <c r="AN104" i="1" l="1"/>
  <c r="U105" i="1"/>
  <c r="AK105" i="1"/>
  <c r="W105" i="1"/>
  <c r="AM105" i="1"/>
  <c r="Y105" i="1"/>
  <c r="AA105" i="1"/>
  <c r="AE105" i="1"/>
  <c r="AI105" i="1"/>
  <c r="S105" i="1"/>
  <c r="AC105" i="1"/>
  <c r="Q105" i="1"/>
  <c r="AG105" i="1"/>
  <c r="AN105" i="1" l="1"/>
  <c r="AC106" i="1"/>
  <c r="AE106" i="1"/>
  <c r="Q106" i="1"/>
  <c r="AG106" i="1"/>
  <c r="S106" i="1"/>
  <c r="AI106" i="1"/>
  <c r="W106" i="1"/>
  <c r="AM106" i="1"/>
  <c r="U106" i="1"/>
  <c r="Y106" i="1"/>
  <c r="AA106" i="1"/>
  <c r="AK106" i="1"/>
  <c r="AN106" i="1" l="1"/>
  <c r="U107" i="1"/>
  <c r="AK107" i="1"/>
  <c r="W107" i="1"/>
  <c r="AM107" i="1"/>
  <c r="Y107" i="1"/>
  <c r="AA107" i="1"/>
  <c r="AE107" i="1"/>
  <c r="AG107" i="1"/>
  <c r="AI107" i="1"/>
  <c r="Q107" i="1"/>
  <c r="S107" i="1"/>
  <c r="AC107" i="1"/>
  <c r="AN107" i="1" l="1"/>
  <c r="AC108" i="1"/>
  <c r="AE108" i="1"/>
  <c r="Q108" i="1"/>
  <c r="AG108" i="1"/>
  <c r="S108" i="1"/>
  <c r="AI108" i="1"/>
  <c r="W108" i="1"/>
  <c r="AM108" i="1"/>
  <c r="U108" i="1"/>
  <c r="Y108" i="1"/>
  <c r="AK108" i="1"/>
  <c r="AA108" i="1"/>
  <c r="AN108" i="1" l="1"/>
  <c r="U109" i="1"/>
  <c r="AK109" i="1"/>
  <c r="W109" i="1"/>
  <c r="AM109" i="1"/>
  <c r="Y109" i="1"/>
  <c r="AA109" i="1"/>
  <c r="AE109" i="1"/>
  <c r="AC109" i="1"/>
  <c r="AG109" i="1"/>
  <c r="AI109" i="1"/>
  <c r="Q109" i="1"/>
  <c r="S109" i="1"/>
  <c r="AN109" i="1" l="1"/>
  <c r="AC110" i="1"/>
  <c r="AE110" i="1"/>
  <c r="Q110" i="1"/>
  <c r="AG110" i="1"/>
  <c r="S110" i="1"/>
  <c r="AI110" i="1"/>
  <c r="W110" i="1"/>
  <c r="AM110" i="1"/>
  <c r="U110" i="1"/>
  <c r="AA110" i="1"/>
  <c r="AK110" i="1"/>
  <c r="Y110" i="1"/>
  <c r="AN110" i="1" l="1"/>
  <c r="U111" i="1"/>
  <c r="AK111" i="1"/>
  <c r="W111" i="1"/>
  <c r="AM111" i="1"/>
  <c r="Y111" i="1"/>
  <c r="AA111" i="1"/>
  <c r="AE111" i="1"/>
  <c r="S111" i="1"/>
  <c r="AC111" i="1"/>
  <c r="AG111" i="1"/>
  <c r="AI111" i="1"/>
  <c r="Q111" i="1"/>
  <c r="AN111" i="1" l="1"/>
  <c r="AC112" i="1"/>
  <c r="AE112" i="1"/>
  <c r="Q112" i="1"/>
  <c r="AG112" i="1"/>
  <c r="S112" i="1"/>
  <c r="AI112" i="1"/>
  <c r="W112" i="1"/>
  <c r="AM112" i="1"/>
  <c r="Y112" i="1"/>
  <c r="AA112" i="1"/>
  <c r="U112" i="1"/>
  <c r="AK112" i="1"/>
  <c r="AN112" i="1" l="1"/>
  <c r="U113" i="1"/>
  <c r="AK113" i="1"/>
  <c r="W113" i="1"/>
  <c r="AM113" i="1"/>
  <c r="Y113" i="1"/>
  <c r="AA113" i="1"/>
  <c r="AE113" i="1"/>
  <c r="Q113" i="1"/>
  <c r="S113" i="1"/>
  <c r="AC113" i="1"/>
  <c r="AG113" i="1"/>
  <c r="AI113" i="1"/>
  <c r="AN113" i="1" l="1"/>
  <c r="AC114" i="1"/>
  <c r="AE114" i="1"/>
  <c r="Q114" i="1"/>
  <c r="AG114" i="1"/>
  <c r="S114" i="1"/>
  <c r="AI114" i="1"/>
  <c r="W114" i="1"/>
  <c r="AM114" i="1"/>
  <c r="AK114" i="1"/>
  <c r="U114" i="1"/>
  <c r="Y114" i="1"/>
  <c r="AA114" i="1"/>
  <c r="AN114" i="1" l="1"/>
  <c r="U115" i="1"/>
  <c r="AK115" i="1"/>
  <c r="W115" i="1"/>
  <c r="AM115" i="1"/>
  <c r="Y115" i="1"/>
  <c r="AA115" i="1"/>
  <c r="AE115" i="1"/>
  <c r="Q115" i="1"/>
  <c r="S115" i="1"/>
  <c r="AC115" i="1"/>
  <c r="AI115" i="1"/>
  <c r="AG115" i="1"/>
  <c r="AC116" i="1" l="1"/>
  <c r="AE116" i="1"/>
  <c r="Q116" i="1"/>
  <c r="AG116" i="1"/>
  <c r="S116" i="1"/>
  <c r="AI116" i="1"/>
  <c r="W116" i="1"/>
  <c r="AM116" i="1"/>
  <c r="AA116" i="1"/>
  <c r="AK116" i="1"/>
  <c r="U116" i="1"/>
  <c r="Y116" i="1"/>
  <c r="AN115" i="1"/>
  <c r="AN116" i="1" l="1"/>
  <c r="U117" i="1"/>
  <c r="AK117" i="1"/>
  <c r="W117" i="1"/>
  <c r="AM117" i="1"/>
  <c r="Y117" i="1"/>
  <c r="AA117" i="1"/>
  <c r="AE117" i="1"/>
  <c r="Q117" i="1"/>
  <c r="S117" i="1"/>
  <c r="AG117" i="1"/>
  <c r="AI117" i="1"/>
  <c r="AC117" i="1"/>
  <c r="AN117" i="1" l="1"/>
  <c r="AA118" i="1"/>
  <c r="AC118" i="1"/>
  <c r="AE118" i="1"/>
  <c r="Q118" i="1"/>
  <c r="AG118" i="1"/>
  <c r="U118" i="1"/>
  <c r="AK118" i="1"/>
  <c r="W118" i="1"/>
  <c r="Y118" i="1"/>
  <c r="AI118" i="1"/>
  <c r="AM118" i="1"/>
  <c r="S118" i="1"/>
  <c r="AN118" i="1" l="1"/>
  <c r="S119" i="1"/>
  <c r="AI119" i="1"/>
  <c r="U119" i="1"/>
  <c r="AK119" i="1"/>
  <c r="W119" i="1"/>
  <c r="AM119" i="1"/>
  <c r="Y119" i="1"/>
  <c r="AC119" i="1"/>
  <c r="AA119" i="1"/>
  <c r="AE119" i="1"/>
  <c r="Q119" i="1"/>
  <c r="AG119" i="1"/>
  <c r="AN119" i="1" l="1"/>
  <c r="AA120" i="1"/>
  <c r="AC120" i="1"/>
  <c r="AE120" i="1"/>
  <c r="Q120" i="1"/>
  <c r="AG120" i="1"/>
  <c r="U120" i="1"/>
  <c r="AK120" i="1"/>
  <c r="S120" i="1"/>
  <c r="W120" i="1"/>
  <c r="Y120" i="1"/>
  <c r="AI120" i="1"/>
  <c r="AM120" i="1"/>
  <c r="AN120" i="1" l="1"/>
  <c r="S121" i="1"/>
  <c r="AI121" i="1"/>
  <c r="U121" i="1"/>
  <c r="AK121" i="1"/>
  <c r="W121" i="1"/>
  <c r="AM121" i="1"/>
  <c r="AC121" i="1"/>
  <c r="AE121" i="1"/>
  <c r="AG121" i="1"/>
  <c r="Q121" i="1"/>
  <c r="Y121" i="1"/>
  <c r="AA121" i="1"/>
  <c r="AN121" i="1" l="1"/>
  <c r="AA122" i="1"/>
  <c r="AC122" i="1"/>
  <c r="AE122" i="1"/>
  <c r="U122" i="1"/>
  <c r="AK122" i="1"/>
  <c r="AM122" i="1"/>
  <c r="Q122" i="1"/>
  <c r="S122" i="1"/>
  <c r="Y122" i="1"/>
  <c r="AG122" i="1"/>
  <c r="AI122" i="1"/>
  <c r="W122" i="1"/>
  <c r="U123" i="1" l="1"/>
  <c r="AK123" i="1"/>
  <c r="W123" i="1"/>
  <c r="AM123" i="1"/>
  <c r="AC123" i="1"/>
  <c r="Q123" i="1"/>
  <c r="S123" i="1"/>
  <c r="Y123" i="1"/>
  <c r="AE123" i="1"/>
  <c r="AG123" i="1"/>
  <c r="AA123" i="1"/>
  <c r="AI123" i="1"/>
  <c r="AN122" i="1"/>
  <c r="AN123" i="1" l="1"/>
  <c r="AC124" i="1"/>
  <c r="AE124" i="1"/>
  <c r="U124" i="1"/>
  <c r="AK124" i="1"/>
  <c r="Q124" i="1"/>
  <c r="S124" i="1"/>
  <c r="W124" i="1"/>
  <c r="Y124" i="1"/>
  <c r="AG124" i="1"/>
  <c r="AI124" i="1"/>
  <c r="AA124" i="1"/>
  <c r="AM124" i="1"/>
  <c r="AN124" i="1" l="1"/>
  <c r="U125" i="1"/>
  <c r="AK125" i="1"/>
  <c r="W125" i="1"/>
  <c r="AM125" i="1"/>
  <c r="AC125" i="1"/>
  <c r="Q125" i="1"/>
  <c r="S125" i="1"/>
  <c r="Y125" i="1"/>
  <c r="AA125" i="1"/>
  <c r="AG125" i="1"/>
  <c r="AI125" i="1"/>
  <c r="AE125" i="1"/>
  <c r="AN125" i="1" l="1"/>
  <c r="AC126" i="1"/>
  <c r="AE126" i="1"/>
  <c r="U126" i="1"/>
  <c r="AK126" i="1"/>
  <c r="S126" i="1"/>
  <c r="W126" i="1"/>
  <c r="Y126" i="1"/>
  <c r="AA126" i="1"/>
  <c r="AI126" i="1"/>
  <c r="AM126" i="1"/>
  <c r="AG126" i="1"/>
  <c r="Q126" i="1"/>
  <c r="AN126" i="1" l="1"/>
  <c r="U127" i="1"/>
  <c r="AK127" i="1"/>
  <c r="W127" i="1"/>
  <c r="AC127" i="1"/>
  <c r="S127" i="1"/>
  <c r="Y127" i="1"/>
  <c r="AA127" i="1"/>
  <c r="AE127" i="1"/>
  <c r="AI127" i="1"/>
  <c r="AM127" i="1"/>
  <c r="Q127" i="1"/>
  <c r="AG127" i="1"/>
  <c r="AN127" i="1" l="1"/>
  <c r="AC128" i="1"/>
  <c r="U128" i="1"/>
  <c r="AK128" i="1"/>
  <c r="S128" i="1"/>
  <c r="W128" i="1"/>
  <c r="Y128" i="1"/>
  <c r="AA128" i="1"/>
  <c r="AG128" i="1"/>
  <c r="AI128" i="1"/>
  <c r="AE128" i="1"/>
  <c r="AM128" i="1"/>
  <c r="Q128" i="1"/>
  <c r="AN128" i="1" l="1"/>
  <c r="U129" i="1"/>
  <c r="AK129" i="1"/>
  <c r="AC129" i="1"/>
  <c r="Q129" i="1"/>
  <c r="AM129" i="1"/>
  <c r="S129" i="1"/>
  <c r="W129" i="1"/>
  <c r="Y129" i="1"/>
  <c r="AE129" i="1"/>
  <c r="AG129" i="1"/>
  <c r="AA129" i="1"/>
  <c r="AI129" i="1"/>
  <c r="AN129" i="1" l="1"/>
  <c r="AC130" i="1"/>
  <c r="U130" i="1"/>
  <c r="AK130" i="1"/>
  <c r="AI130" i="1"/>
  <c r="Q130" i="1"/>
  <c r="AM130" i="1"/>
  <c r="S130" i="1"/>
  <c r="W130" i="1"/>
  <c r="AA130" i="1"/>
  <c r="AE130" i="1"/>
  <c r="AG130" i="1"/>
  <c r="Y130" i="1"/>
  <c r="AN130" i="1" l="1"/>
  <c r="U131" i="1"/>
  <c r="AK131" i="1"/>
  <c r="AC131" i="1"/>
  <c r="AG131" i="1"/>
  <c r="AI131" i="1"/>
  <c r="Q131" i="1"/>
  <c r="AM131" i="1"/>
  <c r="S131" i="1"/>
  <c r="Y131" i="1"/>
  <c r="AA131" i="1"/>
  <c r="W131" i="1"/>
  <c r="AE131" i="1"/>
  <c r="AN131" i="1" l="1"/>
  <c r="AC132" i="1"/>
  <c r="U132" i="1"/>
  <c r="AK132" i="1"/>
  <c r="AE132" i="1"/>
  <c r="AG132" i="1"/>
  <c r="AI132" i="1"/>
  <c r="Q132" i="1"/>
  <c r="AM132" i="1"/>
  <c r="W132" i="1"/>
  <c r="Y132" i="1"/>
  <c r="S132" i="1"/>
  <c r="AA132" i="1"/>
  <c r="U133" i="1" l="1"/>
  <c r="AK133" i="1"/>
  <c r="AC133" i="1"/>
  <c r="AA133" i="1"/>
  <c r="AE133" i="1"/>
  <c r="AG133" i="1"/>
  <c r="AI133" i="1"/>
  <c r="S133" i="1"/>
  <c r="W133" i="1"/>
  <c r="Q133" i="1"/>
  <c r="Y133" i="1"/>
  <c r="AM133" i="1"/>
  <c r="AN132" i="1"/>
  <c r="AC134" i="1" l="1"/>
  <c r="U134" i="1"/>
  <c r="AK134" i="1"/>
  <c r="Y134" i="1"/>
  <c r="AA134" i="1"/>
  <c r="AE134" i="1"/>
  <c r="AG134" i="1"/>
  <c r="Q134" i="1"/>
  <c r="AM134" i="1"/>
  <c r="S134" i="1"/>
  <c r="W134" i="1"/>
  <c r="AI134" i="1"/>
  <c r="AN133" i="1"/>
  <c r="AN134" i="1" l="1"/>
  <c r="U135" i="1"/>
  <c r="AK135" i="1"/>
  <c r="AC135" i="1"/>
  <c r="W135" i="1"/>
  <c r="Y135" i="1"/>
  <c r="AA135" i="1"/>
  <c r="AE135" i="1"/>
  <c r="AI135" i="1"/>
  <c r="Q135" i="1"/>
  <c r="AM135" i="1"/>
  <c r="AG135" i="1"/>
  <c r="S135" i="1"/>
  <c r="AN135" i="1" l="1"/>
  <c r="AC136" i="1"/>
  <c r="U136" i="1"/>
  <c r="AK136" i="1"/>
  <c r="S136" i="1"/>
  <c r="W136" i="1"/>
  <c r="Y136" i="1"/>
  <c r="AA136" i="1"/>
  <c r="AG136" i="1"/>
  <c r="AI136" i="1"/>
  <c r="Q136" i="1"/>
  <c r="AE136" i="1"/>
  <c r="AM136" i="1"/>
  <c r="Q137" i="1" l="1"/>
  <c r="AG137" i="1"/>
  <c r="S137" i="1"/>
  <c r="AI137" i="1"/>
  <c r="U137" i="1"/>
  <c r="AK137" i="1"/>
  <c r="W137" i="1"/>
  <c r="AM137" i="1"/>
  <c r="AA137" i="1"/>
  <c r="AC137" i="1"/>
  <c r="AE137" i="1"/>
  <c r="Y137" i="1"/>
  <c r="AN136" i="1"/>
  <c r="AN137" i="1" l="1"/>
  <c r="Y138" i="1"/>
  <c r="AA138" i="1"/>
  <c r="AC138" i="1"/>
  <c r="AE138" i="1"/>
  <c r="S138" i="1"/>
  <c r="AI138" i="1"/>
  <c r="U138" i="1"/>
  <c r="AK138" i="1"/>
  <c r="AG138" i="1"/>
  <c r="AM138" i="1"/>
  <c r="Q138" i="1"/>
  <c r="W138" i="1"/>
  <c r="AN138" i="1" l="1"/>
  <c r="Q139" i="1"/>
  <c r="AG139" i="1"/>
  <c r="S139" i="1"/>
  <c r="AI139" i="1"/>
  <c r="U139" i="1"/>
  <c r="AK139" i="1"/>
  <c r="W139" i="1"/>
  <c r="AN139" i="1" s="1"/>
  <c r="AM139" i="1"/>
  <c r="AA139" i="1"/>
  <c r="AC139" i="1"/>
  <c r="Y139" i="1"/>
  <c r="AE139" i="1"/>
  <c r="Y140" i="1" l="1"/>
  <c r="AA140" i="1"/>
  <c r="AC140" i="1"/>
  <c r="AE140" i="1"/>
  <c r="S140" i="1"/>
  <c r="AI140" i="1"/>
  <c r="U140" i="1"/>
  <c r="AK140" i="1"/>
  <c r="W140" i="1"/>
  <c r="AG140" i="1"/>
  <c r="AM140" i="1"/>
  <c r="Q140" i="1"/>
  <c r="AN140" i="1" l="1"/>
  <c r="Q141" i="1"/>
  <c r="AG141" i="1"/>
  <c r="S141" i="1"/>
  <c r="AI141" i="1"/>
  <c r="U141" i="1"/>
  <c r="AK141" i="1"/>
  <c r="W141" i="1"/>
  <c r="AM141" i="1"/>
  <c r="AA141" i="1"/>
  <c r="AC141" i="1"/>
  <c r="Y141" i="1"/>
  <c r="AE141" i="1"/>
  <c r="Y142" i="1" l="1"/>
  <c r="AA142" i="1"/>
  <c r="AC142" i="1"/>
  <c r="AE142" i="1"/>
  <c r="S142" i="1"/>
  <c r="AI142" i="1"/>
  <c r="U142" i="1"/>
  <c r="AK142" i="1"/>
  <c r="Q142" i="1"/>
  <c r="AM142" i="1"/>
  <c r="W142" i="1"/>
  <c r="AG142" i="1"/>
  <c r="AN141" i="1"/>
  <c r="AN142" i="1" l="1"/>
  <c r="Q143" i="1"/>
  <c r="AG143" i="1"/>
  <c r="S143" i="1"/>
  <c r="AI143" i="1"/>
  <c r="U143" i="1"/>
  <c r="AK143" i="1"/>
  <c r="W143" i="1"/>
  <c r="AM143" i="1"/>
  <c r="AA143" i="1"/>
  <c r="AC143" i="1"/>
  <c r="Y143" i="1"/>
  <c r="AE143" i="1"/>
  <c r="Y144" i="1" l="1"/>
  <c r="AA144" i="1"/>
  <c r="AC144" i="1"/>
  <c r="AE144" i="1"/>
  <c r="S144" i="1"/>
  <c r="AI144" i="1"/>
  <c r="U144" i="1"/>
  <c r="AK144" i="1"/>
  <c r="Q144" i="1"/>
  <c r="W144" i="1"/>
  <c r="AG144" i="1"/>
  <c r="AM144" i="1"/>
  <c r="AN143" i="1"/>
  <c r="AN144" i="1" l="1"/>
  <c r="Q145" i="1"/>
  <c r="AG145" i="1"/>
  <c r="S145" i="1"/>
  <c r="AI145" i="1"/>
  <c r="U145" i="1"/>
  <c r="AK145" i="1"/>
  <c r="W145" i="1"/>
  <c r="AM145" i="1"/>
  <c r="AA145" i="1"/>
  <c r="AC145" i="1"/>
  <c r="AE145" i="1"/>
  <c r="Y145" i="1"/>
  <c r="Y146" i="1" l="1"/>
  <c r="AA146" i="1"/>
  <c r="AC146" i="1"/>
  <c r="AE146" i="1"/>
  <c r="S146" i="1"/>
  <c r="AI146" i="1"/>
  <c r="U146" i="1"/>
  <c r="AK146" i="1"/>
  <c r="AG146" i="1"/>
  <c r="AM146" i="1"/>
  <c r="Q146" i="1"/>
  <c r="W146" i="1"/>
  <c r="AN145" i="1"/>
  <c r="AN146" i="1" l="1"/>
  <c r="Q147" i="1"/>
  <c r="AG147" i="1"/>
  <c r="S147" i="1"/>
  <c r="AI147" i="1"/>
  <c r="U147" i="1"/>
  <c r="AK147" i="1"/>
  <c r="W147" i="1"/>
  <c r="AM147" i="1"/>
  <c r="AA147" i="1"/>
  <c r="AC147" i="1"/>
  <c r="Y147" i="1"/>
  <c r="AE147" i="1"/>
  <c r="Y148" i="1" l="1"/>
  <c r="AA148" i="1"/>
  <c r="AC148" i="1"/>
  <c r="AE148" i="1"/>
  <c r="S148" i="1"/>
  <c r="AI148" i="1"/>
  <c r="U148" i="1"/>
  <c r="AK148" i="1"/>
  <c r="W148" i="1"/>
  <c r="AG148" i="1"/>
  <c r="Q148" i="1"/>
  <c r="AM148" i="1"/>
  <c r="AN147" i="1"/>
  <c r="AN148" i="1" l="1"/>
  <c r="Q149" i="1"/>
  <c r="AG149" i="1"/>
  <c r="S149" i="1"/>
  <c r="AI149" i="1"/>
  <c r="U149" i="1"/>
  <c r="AK149" i="1"/>
  <c r="W149" i="1"/>
  <c r="AM149" i="1"/>
  <c r="AA149" i="1"/>
  <c r="AC149" i="1"/>
  <c r="Y149" i="1"/>
  <c r="AE149" i="1"/>
  <c r="AN149" i="1" l="1"/>
  <c r="W150" i="1"/>
  <c r="AM150" i="1"/>
  <c r="Y150" i="1"/>
  <c r="AA150" i="1"/>
  <c r="AC150" i="1"/>
  <c r="Q150" i="1"/>
  <c r="AG150" i="1"/>
  <c r="S150" i="1"/>
  <c r="AI150" i="1"/>
  <c r="AK150" i="1"/>
  <c r="AE150" i="1"/>
  <c r="U150" i="1"/>
  <c r="AN150" i="1" l="1"/>
  <c r="AE151" i="1"/>
  <c r="Q151" i="1"/>
  <c r="AG151" i="1"/>
  <c r="S151" i="1"/>
  <c r="AI151" i="1"/>
  <c r="U151" i="1"/>
  <c r="AK151" i="1"/>
  <c r="Y151" i="1"/>
  <c r="AA151" i="1"/>
  <c r="AM151" i="1"/>
  <c r="W151" i="1"/>
  <c r="AC151" i="1"/>
  <c r="AN151" i="1" l="1"/>
  <c r="W152" i="1"/>
  <c r="AM152" i="1"/>
  <c r="Y152" i="1"/>
  <c r="AA152" i="1"/>
  <c r="AC152" i="1"/>
  <c r="Q152" i="1"/>
  <c r="AG152" i="1"/>
  <c r="S152" i="1"/>
  <c r="AI152" i="1"/>
  <c r="U152" i="1"/>
  <c r="AE152" i="1"/>
  <c r="AK152" i="1"/>
  <c r="AN152" i="1" l="1"/>
  <c r="AE153" i="1"/>
  <c r="Q153" i="1"/>
  <c r="AG153" i="1"/>
  <c r="S153" i="1"/>
  <c r="AI153" i="1"/>
  <c r="U153" i="1"/>
  <c r="AK153" i="1"/>
  <c r="Y153" i="1"/>
  <c r="AA153" i="1"/>
  <c r="AC153" i="1"/>
  <c r="AM153" i="1"/>
  <c r="W153" i="1"/>
  <c r="AN153" i="1" l="1"/>
  <c r="W154" i="1"/>
  <c r="AM154" i="1"/>
  <c r="Y154" i="1"/>
  <c r="AC154" i="1"/>
  <c r="Q154" i="1"/>
  <c r="AG154" i="1"/>
  <c r="S154" i="1"/>
  <c r="AI154" i="1"/>
  <c r="AA154" i="1"/>
  <c r="AE154" i="1"/>
  <c r="AK154" i="1"/>
  <c r="U154" i="1"/>
  <c r="AN154" i="1" l="1"/>
  <c r="AE155" i="1"/>
  <c r="Q155" i="1"/>
  <c r="AG155" i="1"/>
  <c r="U155" i="1"/>
  <c r="AK155" i="1"/>
  <c r="Y155" i="1"/>
  <c r="AA155" i="1"/>
  <c r="AC155" i="1"/>
  <c r="AI155" i="1"/>
  <c r="S155" i="1"/>
  <c r="W155" i="1"/>
  <c r="AM155" i="1"/>
  <c r="AN155" i="1" l="1"/>
  <c r="W156" i="1"/>
  <c r="AM156" i="1"/>
  <c r="Y156" i="1"/>
  <c r="AC156" i="1"/>
  <c r="Q156" i="1"/>
  <c r="AG156" i="1"/>
  <c r="S156" i="1"/>
  <c r="AI156" i="1"/>
  <c r="U156" i="1"/>
  <c r="AA156" i="1"/>
  <c r="AE156" i="1"/>
  <c r="AK156" i="1"/>
  <c r="AN156" i="1" l="1"/>
  <c r="AE157" i="1"/>
  <c r="Q157" i="1"/>
  <c r="AG157" i="1"/>
  <c r="U157" i="1"/>
  <c r="AK157" i="1"/>
  <c r="Y157" i="1"/>
  <c r="AA157" i="1"/>
  <c r="AM157" i="1"/>
  <c r="W157" i="1"/>
  <c r="AC157" i="1"/>
  <c r="S157" i="1"/>
  <c r="AI157" i="1"/>
  <c r="AN157" i="1" l="1"/>
  <c r="W158" i="1"/>
  <c r="AM158" i="1"/>
  <c r="Y158" i="1"/>
  <c r="AC158" i="1"/>
  <c r="Q158" i="1"/>
  <c r="AG158" i="1"/>
  <c r="S158" i="1"/>
  <c r="AI158" i="1"/>
  <c r="U158" i="1"/>
  <c r="AA158" i="1"/>
  <c r="AK158" i="1"/>
  <c r="AE158" i="1"/>
  <c r="AN158" i="1" l="1"/>
  <c r="AE159" i="1"/>
  <c r="Q159" i="1"/>
  <c r="AG159" i="1"/>
  <c r="U159" i="1"/>
  <c r="AK159" i="1"/>
  <c r="Y159" i="1"/>
  <c r="AC159" i="1"/>
  <c r="AI159" i="1"/>
  <c r="AM159" i="1"/>
  <c r="S159" i="1"/>
  <c r="W159" i="1"/>
  <c r="AA159" i="1"/>
  <c r="AN159" i="1" l="1"/>
  <c r="W160" i="1"/>
  <c r="AM160" i="1"/>
  <c r="Y160" i="1"/>
  <c r="AC160" i="1"/>
  <c r="Q160" i="1"/>
  <c r="AI160" i="1"/>
  <c r="AK160" i="1"/>
  <c r="AA160" i="1"/>
  <c r="AE160" i="1"/>
  <c r="S160" i="1"/>
  <c r="U160" i="1"/>
  <c r="AG160" i="1"/>
  <c r="AN160" i="1" l="1"/>
  <c r="AE161" i="1"/>
  <c r="Q161" i="1"/>
  <c r="U161" i="1"/>
  <c r="AI161" i="1"/>
  <c r="AK161" i="1"/>
  <c r="S161" i="1"/>
  <c r="AM161" i="1"/>
  <c r="AA161" i="1"/>
  <c r="AC161" i="1"/>
  <c r="W161" i="1"/>
  <c r="Y161" i="1"/>
  <c r="AG161" i="1"/>
  <c r="AN161" i="1" l="1"/>
  <c r="W162" i="1"/>
  <c r="AM162" i="1"/>
  <c r="AC162" i="1"/>
  <c r="AE162" i="1"/>
  <c r="AG162" i="1"/>
  <c r="U162" i="1"/>
  <c r="Y162" i="1"/>
  <c r="S162" i="1"/>
  <c r="AK162" i="1"/>
  <c r="AA162" i="1"/>
  <c r="AI162" i="1"/>
  <c r="Q162" i="1"/>
  <c r="AN162" i="1" l="1"/>
  <c r="AE163" i="1"/>
  <c r="W163" i="1"/>
  <c r="Y163" i="1"/>
  <c r="AA163" i="1"/>
  <c r="Q163" i="1"/>
  <c r="AI163" i="1"/>
  <c r="S163" i="1"/>
  <c r="AK163" i="1"/>
  <c r="U163" i="1"/>
  <c r="AC163" i="1"/>
  <c r="AM163" i="1"/>
  <c r="AG163" i="1"/>
  <c r="AN163" i="1" l="1"/>
  <c r="W164" i="1"/>
  <c r="AM164" i="1"/>
  <c r="Q164" i="1"/>
  <c r="AI164" i="1"/>
  <c r="S164" i="1"/>
  <c r="AK164" i="1"/>
  <c r="U164" i="1"/>
  <c r="AC164" i="1"/>
  <c r="AE164" i="1"/>
  <c r="Y164" i="1"/>
  <c r="AA164" i="1"/>
  <c r="AG164" i="1"/>
  <c r="AN164" i="1" l="1"/>
  <c r="AE165" i="1"/>
  <c r="AC165" i="1"/>
  <c r="AG165" i="1"/>
  <c r="Q165" i="1"/>
  <c r="AI165" i="1"/>
  <c r="W165" i="1"/>
  <c r="Y165" i="1"/>
  <c r="U165" i="1"/>
  <c r="S165" i="1"/>
  <c r="AA165" i="1"/>
  <c r="AM165" i="1"/>
  <c r="AK165" i="1"/>
  <c r="W166" i="1" l="1"/>
  <c r="AM166" i="1"/>
  <c r="Y166" i="1"/>
  <c r="AA166" i="1"/>
  <c r="AC166" i="1"/>
  <c r="Q166" i="1"/>
  <c r="AI166" i="1"/>
  <c r="S166" i="1"/>
  <c r="AK166" i="1"/>
  <c r="U166" i="1"/>
  <c r="AE166" i="1"/>
  <c r="AG166" i="1"/>
  <c r="AN165" i="1"/>
  <c r="AN166" i="1" l="1"/>
  <c r="AE167" i="1"/>
  <c r="S167" i="1"/>
  <c r="AK167" i="1"/>
  <c r="U167" i="1"/>
  <c r="AM167" i="1"/>
  <c r="W167" i="1"/>
  <c r="AC167" i="1"/>
  <c r="AG167" i="1"/>
  <c r="Q167" i="1"/>
  <c r="Y167" i="1"/>
  <c r="AA167" i="1"/>
  <c r="AI167" i="1"/>
  <c r="AN167" i="1" l="1"/>
  <c r="AC168" i="1"/>
  <c r="AE168" i="1"/>
  <c r="Q168" i="1"/>
  <c r="AG168" i="1"/>
  <c r="W168" i="1"/>
  <c r="AM168" i="1"/>
  <c r="Y168" i="1"/>
  <c r="U168" i="1"/>
  <c r="AK168" i="1"/>
  <c r="AA168" i="1"/>
  <c r="AI168" i="1"/>
  <c r="S168" i="1"/>
  <c r="AN168" i="1" l="1"/>
  <c r="U169" i="1"/>
  <c r="AK169" i="1"/>
  <c r="W169" i="1"/>
  <c r="AM169" i="1"/>
  <c r="Y169" i="1"/>
  <c r="AE169" i="1"/>
  <c r="Q169" i="1"/>
  <c r="AG169" i="1"/>
  <c r="S169" i="1"/>
  <c r="AA169" i="1"/>
  <c r="AI169" i="1"/>
  <c r="AC169" i="1"/>
  <c r="AC170" i="1" l="1"/>
  <c r="AE170" i="1"/>
  <c r="Q170" i="1"/>
  <c r="AG170" i="1"/>
  <c r="W170" i="1"/>
  <c r="AM170" i="1"/>
  <c r="Y170" i="1"/>
  <c r="S170" i="1"/>
  <c r="AK170" i="1"/>
  <c r="U170" i="1"/>
  <c r="AI170" i="1"/>
  <c r="AA170" i="1"/>
  <c r="AN169" i="1"/>
  <c r="AN170" i="1" l="1"/>
  <c r="U171" i="1"/>
  <c r="AK171" i="1"/>
  <c r="W171" i="1"/>
  <c r="AM171" i="1"/>
  <c r="Y171" i="1"/>
  <c r="AE171" i="1"/>
  <c r="Q171" i="1"/>
  <c r="AG171" i="1"/>
  <c r="AI171" i="1"/>
  <c r="S171" i="1"/>
  <c r="AC171" i="1"/>
  <c r="AA171" i="1"/>
  <c r="AN171" i="1" l="1"/>
  <c r="AC172" i="1"/>
  <c r="AE172" i="1"/>
  <c r="Q172" i="1"/>
  <c r="AG172" i="1"/>
  <c r="W172" i="1"/>
  <c r="AM172" i="1"/>
  <c r="Y172" i="1"/>
  <c r="S172" i="1"/>
  <c r="U172" i="1"/>
  <c r="AA172" i="1"/>
  <c r="AI172" i="1"/>
  <c r="AK172" i="1"/>
  <c r="AN172" i="1" l="1"/>
  <c r="U173" i="1"/>
  <c r="AK173" i="1"/>
  <c r="W173" i="1"/>
  <c r="AM173" i="1"/>
  <c r="Y173" i="1"/>
  <c r="AE173" i="1"/>
  <c r="Q173" i="1"/>
  <c r="AG173" i="1"/>
  <c r="AC173" i="1"/>
  <c r="AI173" i="1"/>
  <c r="AA173" i="1"/>
  <c r="S173" i="1"/>
  <c r="AN173" i="1" l="1"/>
  <c r="AC174" i="1"/>
  <c r="AE174" i="1"/>
  <c r="Q174" i="1"/>
  <c r="AG174" i="1"/>
  <c r="W174" i="1"/>
  <c r="AM174" i="1"/>
  <c r="Y174" i="1"/>
  <c r="U174" i="1"/>
  <c r="AA174" i="1"/>
  <c r="S174" i="1"/>
  <c r="AI174" i="1"/>
  <c r="AK174" i="1"/>
  <c r="AN174" i="1" l="1"/>
  <c r="U175" i="1"/>
  <c r="AK175" i="1"/>
  <c r="W175" i="1"/>
  <c r="AM175" i="1"/>
  <c r="Y175" i="1"/>
  <c r="AE175" i="1"/>
  <c r="Q175" i="1"/>
  <c r="AG175" i="1"/>
  <c r="AA175" i="1"/>
  <c r="AC175" i="1"/>
  <c r="AI175" i="1"/>
  <c r="S175" i="1"/>
  <c r="AC176" i="1" l="1"/>
  <c r="AE176" i="1"/>
  <c r="Q176" i="1"/>
  <c r="AG176" i="1"/>
  <c r="W176" i="1"/>
  <c r="AM176" i="1"/>
  <c r="Y176" i="1"/>
  <c r="U176" i="1"/>
  <c r="S176" i="1"/>
  <c r="AA176" i="1"/>
  <c r="AK176" i="1"/>
  <c r="AI176" i="1"/>
  <c r="AN175" i="1"/>
  <c r="AN176" i="1" l="1"/>
  <c r="U177" i="1"/>
  <c r="AK177" i="1"/>
  <c r="W177" i="1"/>
  <c r="AM177" i="1"/>
  <c r="Y177" i="1"/>
  <c r="AE177" i="1"/>
  <c r="Q177" i="1"/>
  <c r="AG177" i="1"/>
  <c r="S177" i="1"/>
  <c r="AI177" i="1"/>
  <c r="AA177" i="1"/>
  <c r="AC177" i="1"/>
  <c r="AC178" i="1" l="1"/>
  <c r="AE178" i="1"/>
  <c r="Q178" i="1"/>
  <c r="AG178" i="1"/>
  <c r="W178" i="1"/>
  <c r="AM178" i="1"/>
  <c r="Y178" i="1"/>
  <c r="AK178" i="1"/>
  <c r="S178" i="1"/>
  <c r="U178" i="1"/>
  <c r="AI178" i="1"/>
  <c r="AA178" i="1"/>
  <c r="AN177" i="1"/>
  <c r="AN178" i="1" l="1"/>
  <c r="U179" i="1"/>
  <c r="AK179" i="1"/>
  <c r="W179" i="1"/>
  <c r="AM179" i="1"/>
  <c r="Y179" i="1"/>
  <c r="AE179" i="1"/>
  <c r="Q179" i="1"/>
  <c r="AG179" i="1"/>
  <c r="S179" i="1"/>
  <c r="AI179" i="1"/>
  <c r="AA179" i="1"/>
  <c r="AC179" i="1"/>
  <c r="AC180" i="1" l="1"/>
  <c r="AE180" i="1"/>
  <c r="Q180" i="1"/>
  <c r="AG180" i="1"/>
  <c r="W180" i="1"/>
  <c r="AM180" i="1"/>
  <c r="Y180" i="1"/>
  <c r="AI180" i="1"/>
  <c r="AK180" i="1"/>
  <c r="S180" i="1"/>
  <c r="AA180" i="1"/>
  <c r="U180" i="1"/>
  <c r="AN179" i="1"/>
  <c r="AN180" i="1" l="1"/>
  <c r="U181" i="1"/>
  <c r="AK181" i="1"/>
  <c r="W181" i="1"/>
  <c r="AM181" i="1"/>
  <c r="Y181" i="1"/>
  <c r="AE181" i="1"/>
  <c r="Q181" i="1"/>
  <c r="AG181" i="1"/>
  <c r="AC181" i="1"/>
  <c r="AA181" i="1"/>
  <c r="S181" i="1"/>
  <c r="AI181" i="1"/>
  <c r="AA182" i="1" l="1"/>
  <c r="AC182" i="1"/>
  <c r="AE182" i="1"/>
  <c r="U182" i="1"/>
  <c r="AK182" i="1"/>
  <c r="W182" i="1"/>
  <c r="AM182" i="1"/>
  <c r="Y182" i="1"/>
  <c r="AG182" i="1"/>
  <c r="AI182" i="1"/>
  <c r="Q182" i="1"/>
  <c r="S182" i="1"/>
  <c r="AN181" i="1"/>
  <c r="AN182" i="1" l="1"/>
  <c r="S183" i="1"/>
  <c r="AI183" i="1"/>
  <c r="U183" i="1"/>
  <c r="AK183" i="1"/>
  <c r="W183" i="1"/>
  <c r="AM183" i="1"/>
  <c r="AC183" i="1"/>
  <c r="AE183" i="1"/>
  <c r="Q183" i="1"/>
  <c r="Y183" i="1"/>
  <c r="AA183" i="1"/>
  <c r="AG183" i="1"/>
  <c r="AA184" i="1" l="1"/>
  <c r="AC184" i="1"/>
  <c r="AE184" i="1"/>
  <c r="U184" i="1"/>
  <c r="AK184" i="1"/>
  <c r="W184" i="1"/>
  <c r="AM184" i="1"/>
  <c r="S184" i="1"/>
  <c r="Y184" i="1"/>
  <c r="AG184" i="1"/>
  <c r="AI184" i="1"/>
  <c r="Q184" i="1"/>
  <c r="AN183" i="1"/>
  <c r="S185" i="1" l="1"/>
  <c r="AI185" i="1"/>
  <c r="U185" i="1"/>
  <c r="AK185" i="1"/>
  <c r="W185" i="1"/>
  <c r="AM185" i="1"/>
  <c r="AC185" i="1"/>
  <c r="AE185" i="1"/>
  <c r="Q185" i="1"/>
  <c r="Y185" i="1"/>
  <c r="AG185" i="1"/>
  <c r="AA185" i="1"/>
  <c r="AN184" i="1"/>
  <c r="AN185" i="1" l="1"/>
  <c r="AA186" i="1"/>
  <c r="AC186" i="1"/>
  <c r="AE186" i="1"/>
  <c r="U186" i="1"/>
  <c r="AK186" i="1"/>
  <c r="W186" i="1"/>
  <c r="AM186" i="1"/>
  <c r="Q186" i="1"/>
  <c r="AI186" i="1"/>
  <c r="S186" i="1"/>
  <c r="AG186" i="1"/>
  <c r="Y186" i="1"/>
  <c r="AN186" i="1" l="1"/>
  <c r="S187" i="1"/>
  <c r="AI187" i="1"/>
  <c r="U187" i="1"/>
  <c r="AK187" i="1"/>
  <c r="W187" i="1"/>
  <c r="AM187" i="1"/>
  <c r="AC187" i="1"/>
  <c r="AE187" i="1"/>
  <c r="AG187" i="1"/>
  <c r="Q187" i="1"/>
  <c r="AA187" i="1"/>
  <c r="Y187" i="1"/>
  <c r="AN187" i="1" l="1"/>
  <c r="AA188" i="1"/>
  <c r="AC188" i="1"/>
  <c r="AE188" i="1"/>
  <c r="U188" i="1"/>
  <c r="AK188" i="1"/>
  <c r="W188" i="1"/>
  <c r="AM188" i="1"/>
  <c r="S188" i="1"/>
  <c r="Q188" i="1"/>
  <c r="Y188" i="1"/>
  <c r="AG188" i="1"/>
  <c r="AI188" i="1"/>
  <c r="AN188" i="1" l="1"/>
  <c r="S189" i="1"/>
  <c r="AI189" i="1"/>
  <c r="U189" i="1"/>
  <c r="AK189" i="1"/>
  <c r="W189" i="1"/>
  <c r="AM189" i="1"/>
  <c r="AC189" i="1"/>
  <c r="AE189" i="1"/>
  <c r="AA189" i="1"/>
  <c r="AG189" i="1"/>
  <c r="Y189" i="1"/>
  <c r="Q189" i="1"/>
  <c r="AN189" i="1" l="1"/>
  <c r="Y190" i="1"/>
  <c r="AA190" i="1"/>
  <c r="AC190" i="1"/>
  <c r="S190" i="1"/>
  <c r="AI190" i="1"/>
  <c r="U190" i="1"/>
  <c r="AK190" i="1"/>
  <c r="Q190" i="1"/>
  <c r="W190" i="1"/>
  <c r="AE190" i="1"/>
  <c r="AG190" i="1"/>
  <c r="AM190" i="1"/>
  <c r="AN190" i="1" l="1"/>
  <c r="Q191" i="1"/>
  <c r="AG191" i="1"/>
  <c r="S191" i="1"/>
  <c r="AI191" i="1"/>
  <c r="U191" i="1"/>
  <c r="AK191" i="1"/>
  <c r="AA191" i="1"/>
  <c r="AC191" i="1"/>
  <c r="W191" i="1"/>
  <c r="Y191" i="1"/>
  <c r="AE191" i="1"/>
  <c r="AM191" i="1"/>
  <c r="AN191" i="1" l="1"/>
  <c r="Y192" i="1"/>
  <c r="AA192" i="1"/>
  <c r="AC192" i="1"/>
  <c r="S192" i="1"/>
  <c r="AI192" i="1"/>
  <c r="U192" i="1"/>
  <c r="AK192" i="1"/>
  <c r="AM192" i="1"/>
  <c r="Q192" i="1"/>
  <c r="W192" i="1"/>
  <c r="AG192" i="1"/>
  <c r="AE192" i="1"/>
  <c r="AN192" i="1" l="1"/>
  <c r="Q193" i="1"/>
  <c r="AG193" i="1"/>
  <c r="S193" i="1"/>
  <c r="AI193" i="1"/>
  <c r="U193" i="1"/>
  <c r="AK193" i="1"/>
  <c r="AA193" i="1"/>
  <c r="AC193" i="1"/>
  <c r="W193" i="1"/>
  <c r="AE193" i="1"/>
  <c r="Y193" i="1"/>
  <c r="AM193" i="1"/>
  <c r="AN193" i="1" l="1"/>
  <c r="Y194" i="1"/>
  <c r="AA194" i="1"/>
  <c r="AC194" i="1"/>
  <c r="S194" i="1"/>
  <c r="AI194" i="1"/>
  <c r="U194" i="1"/>
  <c r="AK194" i="1"/>
  <c r="AG194" i="1"/>
  <c r="AM194" i="1"/>
  <c r="Q194" i="1"/>
  <c r="AE194" i="1"/>
  <c r="W194" i="1"/>
  <c r="AN194" i="1" l="1"/>
  <c r="Q195" i="1"/>
  <c r="AG195" i="1"/>
  <c r="S195" i="1"/>
  <c r="AI195" i="1"/>
  <c r="U195" i="1"/>
  <c r="AK195" i="1"/>
  <c r="AA195" i="1"/>
  <c r="AC195" i="1"/>
  <c r="Y195" i="1"/>
  <c r="W195" i="1"/>
  <c r="AE195" i="1"/>
  <c r="AM195" i="1"/>
  <c r="AN195" i="1" l="1"/>
  <c r="Y196" i="1"/>
  <c r="AA196" i="1"/>
  <c r="AC196" i="1"/>
  <c r="S196" i="1"/>
  <c r="AI196" i="1"/>
  <c r="U196" i="1"/>
  <c r="AK196" i="1"/>
  <c r="AE196" i="1"/>
  <c r="AG196" i="1"/>
  <c r="AM196" i="1"/>
  <c r="Q196" i="1"/>
  <c r="W196" i="1"/>
  <c r="AN196" i="1" l="1"/>
  <c r="Q197" i="1"/>
  <c r="AG197" i="1"/>
  <c r="S197" i="1"/>
  <c r="AI197" i="1"/>
  <c r="U197" i="1"/>
  <c r="AK197" i="1"/>
  <c r="AA197" i="1"/>
  <c r="AC197" i="1"/>
  <c r="Y197" i="1"/>
  <c r="W197" i="1"/>
  <c r="AE197" i="1"/>
  <c r="AM197" i="1"/>
  <c r="Y198" i="1" l="1"/>
  <c r="AA198" i="1"/>
  <c r="AC198" i="1"/>
  <c r="S198" i="1"/>
  <c r="AI198" i="1"/>
  <c r="U198" i="1"/>
  <c r="AK198" i="1"/>
  <c r="W198" i="1"/>
  <c r="AE198" i="1"/>
  <c r="AM198" i="1"/>
  <c r="AG198" i="1"/>
  <c r="Q198" i="1"/>
  <c r="AN197" i="1"/>
  <c r="AN198" i="1" l="1"/>
  <c r="Q199" i="1"/>
  <c r="AG199" i="1"/>
  <c r="S199" i="1"/>
  <c r="AI199" i="1"/>
  <c r="U199" i="1"/>
  <c r="AK199" i="1"/>
  <c r="AA199" i="1"/>
  <c r="AM199" i="1"/>
  <c r="W199" i="1"/>
  <c r="Y199" i="1"/>
  <c r="AC199" i="1"/>
  <c r="AE199" i="1"/>
  <c r="AN199" i="1" l="1"/>
  <c r="Y200" i="1"/>
  <c r="AA200" i="1"/>
  <c r="AC200" i="1"/>
  <c r="S200" i="1"/>
  <c r="AI200" i="1"/>
  <c r="U200" i="1"/>
  <c r="W200" i="1"/>
  <c r="Q200" i="1"/>
  <c r="AE200" i="1"/>
  <c r="AG200" i="1"/>
  <c r="AK200" i="1"/>
  <c r="AM200" i="1"/>
  <c r="Q201" i="1" l="1"/>
  <c r="AG201" i="1"/>
  <c r="S201" i="1"/>
  <c r="AI201" i="1"/>
  <c r="U201" i="1"/>
  <c r="AK201" i="1"/>
  <c r="AA201" i="1"/>
  <c r="W201" i="1"/>
  <c r="Y201" i="1"/>
  <c r="AC201" i="1"/>
  <c r="AM201" i="1"/>
  <c r="AE201" i="1"/>
  <c r="AN200" i="1"/>
  <c r="Y202" i="1" l="1"/>
  <c r="AA202" i="1"/>
  <c r="AC202" i="1"/>
  <c r="S202" i="1"/>
  <c r="AI202" i="1"/>
  <c r="AE202" i="1"/>
  <c r="AG202" i="1"/>
  <c r="AM202" i="1"/>
  <c r="AK202" i="1"/>
  <c r="Q202" i="1"/>
  <c r="W202" i="1"/>
  <c r="U202" i="1"/>
  <c r="AN201" i="1"/>
  <c r="AN202" i="1" l="1"/>
  <c r="Q203" i="1"/>
  <c r="AG203" i="1"/>
  <c r="S203" i="1"/>
  <c r="AI203" i="1"/>
  <c r="U203" i="1"/>
  <c r="AK203" i="1"/>
  <c r="AA203" i="1"/>
  <c r="AM203" i="1"/>
  <c r="W203" i="1"/>
  <c r="AE203" i="1"/>
  <c r="Y203" i="1"/>
  <c r="AC203" i="1"/>
  <c r="Y204" i="1" l="1"/>
  <c r="AC204" i="1"/>
  <c r="AA204" i="1"/>
  <c r="S204" i="1"/>
  <c r="AI204" i="1"/>
  <c r="W204" i="1"/>
  <c r="Q204" i="1"/>
  <c r="U204" i="1"/>
  <c r="AE204" i="1"/>
  <c r="AG204" i="1"/>
  <c r="AK204" i="1"/>
  <c r="AM204" i="1"/>
  <c r="AN203" i="1"/>
  <c r="AN204" i="1" l="1"/>
  <c r="Q205" i="1"/>
  <c r="P206" i="1" s="1"/>
  <c r="Q217" i="1" s="1"/>
  <c r="AG205" i="1"/>
  <c r="AF206" i="1" s="1"/>
  <c r="AG217" i="1" s="1"/>
  <c r="J24" i="25" s="1"/>
  <c r="S205" i="1"/>
  <c r="R206" i="1" s="1"/>
  <c r="S217" i="1" s="1"/>
  <c r="AI205" i="1"/>
  <c r="AH206" i="1" s="1"/>
  <c r="AI217" i="1" s="1"/>
  <c r="K24" i="25" s="1"/>
  <c r="U205" i="1"/>
  <c r="T206" i="1" s="1"/>
  <c r="U217" i="1" s="1"/>
  <c r="AK205" i="1"/>
  <c r="AJ206" i="1" s="1"/>
  <c r="AK217" i="1" s="1"/>
  <c r="W205" i="1"/>
  <c r="V206" i="1" s="1"/>
  <c r="W217" i="1" s="1"/>
  <c r="Y205" i="1"/>
  <c r="AA205" i="1"/>
  <c r="Z206" i="1" s="1"/>
  <c r="AA217" i="1" s="1"/>
  <c r="AE205" i="1"/>
  <c r="AD206" i="1" s="1"/>
  <c r="AE217" i="1" s="1"/>
  <c r="AC205" i="1"/>
  <c r="AB206" i="1" s="1"/>
  <c r="AC217" i="1" s="1"/>
  <c r="AM205" i="1"/>
  <c r="AL206" i="1" s="1"/>
  <c r="AM217" i="1" s="1"/>
  <c r="B222" i="18" a="1"/>
  <c r="B222" i="18" s="1"/>
  <c r="D222" i="18" s="1"/>
  <c r="B141" i="18" a="1"/>
  <c r="B141" i="18" s="1"/>
  <c r="D141" i="18" s="1"/>
  <c r="B31" i="18" a="1"/>
  <c r="B31" i="18" s="1"/>
  <c r="D31" i="18" s="1"/>
  <c r="B391" i="18" a="1"/>
  <c r="B391" i="18" s="1"/>
  <c r="D391" i="18" s="1"/>
  <c r="B94" i="18" a="1"/>
  <c r="B94" i="18" s="1"/>
  <c r="D94" i="18" s="1"/>
  <c r="B167" i="18" a="1"/>
  <c r="B167" i="18" s="1"/>
  <c r="D167" i="18" s="1"/>
  <c r="B682" i="18" a="1"/>
  <c r="B682" i="18" s="1"/>
  <c r="D682" i="18" s="1"/>
  <c r="B346" i="18" a="1"/>
  <c r="B346" i="18" s="1"/>
  <c r="D346" i="18" s="1"/>
  <c r="B428" i="18" a="1"/>
  <c r="B428" i="18" s="1"/>
  <c r="D428" i="18" s="1"/>
  <c r="B153" i="18" a="1"/>
  <c r="B153" i="18" s="1"/>
  <c r="D153" i="18" s="1"/>
  <c r="B5" i="18" a="1"/>
  <c r="B5" i="18" s="1"/>
  <c r="D5" i="18" s="1"/>
  <c r="B23" i="18" a="1"/>
  <c r="B23" i="18" s="1"/>
  <c r="D23" i="18" s="1"/>
  <c r="B507" i="18" a="1"/>
  <c r="B507" i="18" s="1"/>
  <c r="D507" i="18" s="1"/>
  <c r="B56" i="18" a="1"/>
  <c r="B56" i="18" s="1"/>
  <c r="D56" i="18" s="1"/>
  <c r="B268" i="18" a="1"/>
  <c r="B268" i="18" s="1"/>
  <c r="D268" i="18" s="1"/>
  <c r="B264" i="18" a="1"/>
  <c r="B264" i="18" s="1"/>
  <c r="D264" i="18" s="1"/>
  <c r="B324" i="18" a="1"/>
  <c r="B324" i="18" s="1"/>
  <c r="D324" i="18" s="1"/>
  <c r="B582" i="18" a="1"/>
  <c r="B582" i="18" s="1"/>
  <c r="D582" i="18" s="1"/>
  <c r="B743" i="18" a="1"/>
  <c r="B743" i="18" s="1"/>
  <c r="D743" i="18" s="1"/>
  <c r="B363" i="18" a="1"/>
  <c r="B363" i="18" s="1"/>
  <c r="D363" i="18" s="1"/>
  <c r="B191" i="18" a="1"/>
  <c r="B191" i="18" s="1"/>
  <c r="D191" i="18" s="1"/>
  <c r="B380" i="18" a="1"/>
  <c r="B380" i="18" s="1"/>
  <c r="D380" i="18" s="1"/>
  <c r="B403" i="18" a="1"/>
  <c r="B403" i="18" s="1"/>
  <c r="D403" i="18" s="1"/>
  <c r="B149" i="18" a="1"/>
  <c r="B149" i="18" s="1"/>
  <c r="D149" i="18" s="1"/>
  <c r="B425" i="18" a="1"/>
  <c r="B425" i="18" s="1"/>
  <c r="D425" i="18" s="1"/>
  <c r="B433" i="18" a="1"/>
  <c r="B433" i="18" s="1"/>
  <c r="D433" i="18" s="1"/>
  <c r="B683" i="18" a="1"/>
  <c r="B683" i="18" s="1"/>
  <c r="D683" i="18" s="1"/>
  <c r="B84" i="18" a="1"/>
  <c r="B84" i="18" s="1"/>
  <c r="D84" i="18" s="1"/>
  <c r="B29" i="18" a="1"/>
  <c r="B29" i="18" s="1"/>
  <c r="D29" i="18" s="1"/>
  <c r="B258" i="18" a="1"/>
  <c r="B258" i="18" s="1"/>
  <c r="D258" i="18" s="1"/>
  <c r="B104" i="18" a="1"/>
  <c r="B104" i="18" s="1"/>
  <c r="D104" i="18" s="1"/>
  <c r="B549" i="18" a="1"/>
  <c r="B549" i="18" s="1"/>
  <c r="D549" i="18" s="1"/>
  <c r="B577" i="18" a="1"/>
  <c r="B577" i="18" s="1"/>
  <c r="D577" i="18" s="1"/>
  <c r="B38" i="18" a="1"/>
  <c r="B38" i="18" s="1"/>
  <c r="D38" i="18" s="1"/>
  <c r="B181" i="18" a="1"/>
  <c r="B181" i="18" s="1"/>
  <c r="D181" i="18" s="1"/>
  <c r="B562" i="18" a="1"/>
  <c r="B562" i="18" s="1"/>
  <c r="D562" i="18" s="1"/>
  <c r="B584" i="18" a="1"/>
  <c r="B584" i="18" s="1"/>
  <c r="D584" i="18" s="1"/>
  <c r="B664" i="18" a="1"/>
  <c r="B664" i="18" s="1"/>
  <c r="D664" i="18" s="1"/>
  <c r="B371" i="18" a="1"/>
  <c r="B371" i="18" s="1"/>
  <c r="D371" i="18" s="1"/>
  <c r="B251" i="18" a="1"/>
  <c r="B251" i="18" s="1"/>
  <c r="D251" i="18" s="1"/>
  <c r="B399" i="18" a="1"/>
  <c r="B399" i="18" s="1"/>
  <c r="D399" i="18" s="1"/>
  <c r="B520" i="18" a="1"/>
  <c r="B520" i="18" s="1"/>
  <c r="D520" i="18" s="1"/>
  <c r="B710" i="18" a="1"/>
  <c r="B710" i="18" s="1"/>
  <c r="D710" i="18" s="1"/>
  <c r="B556" i="18" a="1"/>
  <c r="B556" i="18" s="1"/>
  <c r="D556" i="18" s="1"/>
  <c r="B401" i="18" a="1"/>
  <c r="B401" i="18" s="1"/>
  <c r="D401" i="18" s="1"/>
  <c r="B415" i="18" a="1"/>
  <c r="B415" i="18" s="1"/>
  <c r="D415" i="18" s="1"/>
  <c r="B638" i="18" a="1"/>
  <c r="B638" i="18" s="1"/>
  <c r="D638" i="18" s="1"/>
  <c r="B478" i="18" a="1"/>
  <c r="B478" i="18" s="1"/>
  <c r="D478" i="18" s="1"/>
  <c r="B41" i="18" a="1"/>
  <c r="B41" i="18" s="1"/>
  <c r="D41" i="18" s="1"/>
  <c r="B731" i="18" a="1"/>
  <c r="B731" i="18" s="1"/>
  <c r="D731" i="18" s="1"/>
  <c r="B6" i="18" a="1"/>
  <c r="B6" i="18" s="1"/>
  <c r="D6" i="18" s="1"/>
  <c r="B378" i="18" a="1"/>
  <c r="B378" i="18" s="1"/>
  <c r="D378" i="18" s="1"/>
  <c r="B755" i="18" a="1"/>
  <c r="B755" i="18" s="1"/>
  <c r="D755" i="18" s="1"/>
  <c r="B511" i="18" a="1"/>
  <c r="B511" i="18" s="1"/>
  <c r="D511" i="18" s="1"/>
  <c r="B301" i="18" a="1"/>
  <c r="B301" i="18" s="1"/>
  <c r="D301" i="18" s="1"/>
  <c r="B480" i="18" a="1"/>
  <c r="B480" i="18" s="1"/>
  <c r="D480" i="18" s="1"/>
  <c r="B447" i="18" a="1"/>
  <c r="B447" i="18" s="1"/>
  <c r="D447" i="18" s="1"/>
  <c r="B134" i="18" a="1"/>
  <c r="B134" i="18" s="1"/>
  <c r="D134" i="18" s="1"/>
  <c r="B129" i="18" a="1"/>
  <c r="B129" i="18" s="1"/>
  <c r="D129" i="18" s="1"/>
  <c r="B602" i="18" a="1"/>
  <c r="B602" i="18" s="1"/>
  <c r="D602" i="18" s="1"/>
  <c r="B303" i="18" a="1"/>
  <c r="B303" i="18" s="1"/>
  <c r="D303" i="18" s="1"/>
  <c r="B69" i="18" a="1"/>
  <c r="B69" i="18" s="1"/>
  <c r="D69" i="18" s="1"/>
  <c r="B236" i="18" a="1"/>
  <c r="B236" i="18" s="1"/>
  <c r="D236" i="18" s="1"/>
  <c r="B65" i="18" a="1"/>
  <c r="B65" i="18" s="1"/>
  <c r="D65" i="18" s="1"/>
  <c r="B263" i="18" a="1"/>
  <c r="B263" i="18" s="1"/>
  <c r="D263" i="18" s="1"/>
  <c r="B275" i="18" a="1"/>
  <c r="B275" i="18" s="1"/>
  <c r="D275" i="18" s="1"/>
  <c r="B560" i="18" a="1"/>
  <c r="B560" i="18" s="1"/>
  <c r="D560" i="18" s="1"/>
  <c r="B298" i="18" a="1"/>
  <c r="B298" i="18" s="1"/>
  <c r="D298" i="18" s="1"/>
  <c r="B616" i="18" a="1"/>
  <c r="B616" i="18" s="1"/>
  <c r="D616" i="18" s="1"/>
  <c r="B46" i="18" a="1"/>
  <c r="B46" i="18" s="1"/>
  <c r="D46" i="18" s="1"/>
  <c r="B405" i="18" a="1"/>
  <c r="B405" i="18" s="1"/>
  <c r="D405" i="18" s="1"/>
  <c r="B39" i="18" a="1"/>
  <c r="B39" i="18" s="1"/>
  <c r="D39" i="18" s="1"/>
  <c r="B260" i="18" a="1"/>
  <c r="B260" i="18" s="1"/>
  <c r="D260" i="18" s="1"/>
  <c r="B540" i="18" a="1"/>
  <c r="B540" i="18" s="1"/>
  <c r="D540" i="18" s="1"/>
  <c r="B436" i="18" a="1"/>
  <c r="B436" i="18" s="1"/>
  <c r="D436" i="18" s="1"/>
  <c r="B649" i="18" a="1"/>
  <c r="B649" i="18" s="1"/>
  <c r="D649" i="18" s="1"/>
  <c r="B706" i="18" a="1"/>
  <c r="B706" i="18" s="1"/>
  <c r="D706" i="18" s="1"/>
  <c r="B195" i="18" a="1"/>
  <c r="B195" i="18" s="1"/>
  <c r="D195" i="18" s="1"/>
  <c r="B124" i="18" a="1"/>
  <c r="B124" i="18" s="1"/>
  <c r="D124" i="18" s="1"/>
  <c r="B622" i="18" a="1"/>
  <c r="B622" i="18" s="1"/>
  <c r="D622" i="18" s="1"/>
  <c r="B271" i="18" a="1"/>
  <c r="B271" i="18" s="1"/>
  <c r="D271" i="18" s="1"/>
  <c r="B758" i="18" a="1"/>
  <c r="B758" i="18" s="1"/>
  <c r="D758" i="18" s="1"/>
  <c r="B70" i="18" a="1"/>
  <c r="B70" i="18" s="1"/>
  <c r="D70" i="18" s="1"/>
  <c r="B659" i="18" a="1"/>
  <c r="B659" i="18" s="1"/>
  <c r="D659" i="18" s="1"/>
  <c r="B450" i="18" a="1"/>
  <c r="B450" i="18" s="1"/>
  <c r="D450" i="18" s="1"/>
  <c r="B402" i="18" a="1"/>
  <c r="B402" i="18" s="1"/>
  <c r="D402" i="18" s="1"/>
  <c r="B314" i="18" a="1"/>
  <c r="B314" i="18" s="1"/>
  <c r="D314" i="18" s="1"/>
  <c r="B445" i="18" a="1"/>
  <c r="B445" i="18" s="1"/>
  <c r="D445" i="18" s="1"/>
  <c r="B352" i="18" a="1"/>
  <c r="B352" i="18" s="1"/>
  <c r="D352" i="18" s="1"/>
  <c r="B680" i="18" a="1"/>
  <c r="B680" i="18" s="1"/>
  <c r="D680" i="18" s="1"/>
  <c r="B337" i="18" a="1"/>
  <c r="B337" i="18" s="1"/>
  <c r="D337" i="18" s="1"/>
  <c r="B36" i="18" a="1"/>
  <c r="B36" i="18" s="1"/>
  <c r="D36" i="18" s="1"/>
  <c r="B407" i="18" a="1"/>
  <c r="B407" i="18" s="1"/>
  <c r="D407" i="18" s="1"/>
  <c r="B218" i="18" a="1"/>
  <c r="B218" i="18" s="1"/>
  <c r="D218" i="18" s="1"/>
  <c r="B522" i="18" a="1"/>
  <c r="B522" i="18" s="1"/>
  <c r="D522" i="18" s="1"/>
  <c r="B207" i="18" a="1"/>
  <c r="B207" i="18" s="1"/>
  <c r="D207" i="18" s="1"/>
  <c r="B267" i="18" a="1"/>
  <c r="B267" i="18" s="1"/>
  <c r="D267" i="18" s="1"/>
  <c r="B211" i="18" a="1"/>
  <c r="B211" i="18" s="1"/>
  <c r="D211" i="18" s="1"/>
  <c r="B163" i="18" a="1"/>
  <c r="B163" i="18" s="1"/>
  <c r="D163" i="18" s="1"/>
  <c r="B531" i="18" a="1"/>
  <c r="B531" i="18" s="1"/>
  <c r="D531" i="18" s="1"/>
  <c r="B381" i="18" a="1"/>
  <c r="B381" i="18" s="1"/>
  <c r="D381" i="18" s="1"/>
  <c r="B695" i="18" a="1"/>
  <c r="B695" i="18" s="1"/>
  <c r="D695" i="18" s="1"/>
  <c r="B217" i="18" a="1"/>
  <c r="B217" i="18" s="1"/>
  <c r="D217" i="18" s="1"/>
  <c r="B716" i="18" a="1"/>
  <c r="B716" i="18" s="1"/>
  <c r="D716" i="18" s="1"/>
  <c r="B61" i="18" a="1"/>
  <c r="B61" i="18" s="1"/>
  <c r="D61" i="18" s="1"/>
  <c r="B66" i="18" a="1"/>
  <c r="B66" i="18" s="1"/>
  <c r="D66" i="18" s="1"/>
  <c r="B272" i="18" a="1"/>
  <c r="B272" i="18" s="1"/>
  <c r="D272" i="18" s="1"/>
  <c r="B239" i="18" a="1"/>
  <c r="B239" i="18" s="1"/>
  <c r="D239" i="18" s="1"/>
  <c r="B489" i="18" a="1"/>
  <c r="B489" i="18" s="1"/>
  <c r="D489" i="18" s="1"/>
  <c r="B204" i="18" a="1"/>
  <c r="B204" i="18" s="1"/>
  <c r="D204" i="18" s="1"/>
  <c r="B60" i="18" a="1"/>
  <c r="B60" i="18" s="1"/>
  <c r="D60" i="18" s="1"/>
  <c r="B705" i="18" a="1"/>
  <c r="B705" i="18" s="1"/>
  <c r="D705" i="18" s="1"/>
  <c r="B370" i="18" a="1"/>
  <c r="B370" i="18" s="1"/>
  <c r="D370" i="18" s="1"/>
  <c r="B572" i="18" a="1"/>
  <c r="B572" i="18" s="1"/>
  <c r="D572" i="18" s="1"/>
  <c r="B443" i="18" a="1"/>
  <c r="B443" i="18" s="1"/>
  <c r="D443" i="18" s="1"/>
  <c r="B681" i="18" a="1"/>
  <c r="B681" i="18" s="1"/>
  <c r="D681" i="18" s="1"/>
  <c r="B534" i="18" a="1"/>
  <c r="B534" i="18" s="1"/>
  <c r="D534" i="18" s="1"/>
  <c r="B305" i="18" a="1"/>
  <c r="B305" i="18" s="1"/>
  <c r="D305" i="18" s="1"/>
  <c r="B487" i="18" a="1"/>
  <c r="B487" i="18" s="1"/>
  <c r="D487" i="18" s="1"/>
  <c r="B196" i="18" a="1"/>
  <c r="B196" i="18" s="1"/>
  <c r="D196" i="18" s="1"/>
  <c r="B550" i="18" a="1"/>
  <c r="B550" i="18" s="1"/>
  <c r="D550" i="18" s="1"/>
  <c r="B281" i="18" a="1"/>
  <c r="B281" i="18" s="1"/>
  <c r="D281" i="18" s="1"/>
  <c r="B574" i="18" a="1"/>
  <c r="B574" i="18" s="1"/>
  <c r="D574" i="18" s="1"/>
  <c r="B635" i="18" a="1"/>
  <c r="B635" i="18" s="1"/>
  <c r="D635" i="18" s="1"/>
  <c r="B131" i="18" a="1"/>
  <c r="B131" i="18" s="1"/>
  <c r="D131" i="18" s="1"/>
  <c r="B52" i="18" a="1"/>
  <c r="B52" i="18" s="1"/>
  <c r="D52" i="18" s="1"/>
  <c r="B657" i="18" a="1"/>
  <c r="B657" i="18" s="1"/>
  <c r="D657" i="18" s="1"/>
  <c r="B97" i="18" a="1"/>
  <c r="B97" i="18" s="1"/>
  <c r="D97" i="18" s="1"/>
  <c r="B483" i="18" a="1"/>
  <c r="B483" i="18" s="1"/>
  <c r="D483" i="18" s="1"/>
  <c r="B494" i="18" a="1"/>
  <c r="B494" i="18" s="1"/>
  <c r="D494" i="18" s="1"/>
  <c r="B266" i="18" a="1"/>
  <c r="B266" i="18" s="1"/>
  <c r="D266" i="18" s="1"/>
  <c r="B150" i="18" a="1"/>
  <c r="B150" i="18" s="1"/>
  <c r="D150" i="18" s="1"/>
  <c r="B717" i="18" a="1"/>
  <c r="B717" i="18" s="1"/>
  <c r="D717" i="18" s="1"/>
  <c r="B561" i="18" a="1"/>
  <c r="B561" i="18" s="1"/>
  <c r="D561" i="18" s="1"/>
  <c r="B500" i="18" a="1"/>
  <c r="B500" i="18" s="1"/>
  <c r="D500" i="18" s="1"/>
  <c r="B740" i="18" a="1"/>
  <c r="B740" i="18" s="1"/>
  <c r="D740" i="18" s="1"/>
  <c r="B338" i="18" a="1"/>
  <c r="B338" i="18" s="1"/>
  <c r="D338" i="18" s="1"/>
  <c r="B565" i="18" a="1"/>
  <c r="B565" i="18" s="1"/>
  <c r="D565" i="18" s="1"/>
  <c r="B766" i="18" a="1"/>
  <c r="B766" i="18" s="1"/>
  <c r="D766" i="18" s="1"/>
  <c r="B594" i="18" a="1"/>
  <c r="B594" i="18" s="1"/>
  <c r="D594" i="18" s="1"/>
  <c r="B78" i="18" a="1"/>
  <c r="B78" i="18" s="1"/>
  <c r="D78" i="18" s="1"/>
  <c r="B729" i="18" a="1"/>
  <c r="B729" i="18" s="1"/>
  <c r="D729" i="18" s="1"/>
  <c r="B133" i="18" a="1"/>
  <c r="B133" i="18" s="1"/>
  <c r="D133" i="18" s="1"/>
  <c r="B247" i="18" a="1"/>
  <c r="B247" i="18" s="1"/>
  <c r="D247" i="18" s="1"/>
  <c r="B467" i="18" a="1"/>
  <c r="B467" i="18" s="1"/>
  <c r="D467" i="18" s="1"/>
  <c r="B737" i="18" a="1"/>
  <c r="B737" i="18" s="1"/>
  <c r="D737" i="18" s="1"/>
  <c r="B244" i="18" a="1"/>
  <c r="B244" i="18" s="1"/>
  <c r="D244" i="18" s="1"/>
  <c r="B685" i="18" a="1"/>
  <c r="B685" i="18" s="1"/>
  <c r="D685" i="18" s="1"/>
  <c r="B495" i="18" a="1"/>
  <c r="B495" i="18" s="1"/>
  <c r="D495" i="18" s="1"/>
  <c r="B137" i="18" a="1"/>
  <c r="B137" i="18" s="1"/>
  <c r="D137" i="18" s="1"/>
  <c r="B113" i="18" a="1"/>
  <c r="B113" i="18" s="1"/>
  <c r="D113" i="18" s="1"/>
  <c r="B96" i="18" a="1"/>
  <c r="B96" i="18" s="1"/>
  <c r="D96" i="18" s="1"/>
  <c r="B188" i="18" a="1"/>
  <c r="B188" i="18" s="1"/>
  <c r="D188" i="18" s="1"/>
  <c r="B170" i="18" a="1"/>
  <c r="B170" i="18" s="1"/>
  <c r="D170" i="18" s="1"/>
  <c r="B770" i="18" a="1"/>
  <c r="B770" i="18" s="1"/>
  <c r="D770" i="18" s="1"/>
  <c r="B242" i="18" a="1"/>
  <c r="B242" i="18" s="1"/>
  <c r="D242" i="18" s="1"/>
  <c r="B246" i="18" a="1"/>
  <c r="B246" i="18" s="1"/>
  <c r="D246" i="18" s="1"/>
  <c r="B316" i="18" a="1"/>
  <c r="B316" i="18" s="1"/>
  <c r="D316" i="18" s="1"/>
  <c r="B585" i="18" a="1"/>
  <c r="B585" i="18" s="1"/>
  <c r="D585" i="18" s="1"/>
  <c r="B385" i="18" a="1"/>
  <c r="B385" i="18" s="1"/>
  <c r="D385" i="18" s="1"/>
  <c r="B178" i="18" a="1"/>
  <c r="B178" i="18" s="1"/>
  <c r="D178" i="18" s="1"/>
  <c r="B589" i="18" a="1"/>
  <c r="B589" i="18" s="1"/>
  <c r="D589" i="18" s="1"/>
  <c r="B62" i="18" a="1"/>
  <c r="B62" i="18" s="1"/>
  <c r="D62" i="18" s="1"/>
  <c r="B308" i="18" a="1"/>
  <c r="B308" i="18" s="1"/>
  <c r="D308" i="18" s="1"/>
  <c r="B109" i="18" a="1"/>
  <c r="B109" i="18" s="1"/>
  <c r="D109" i="18" s="1"/>
  <c r="B514" i="18" a="1"/>
  <c r="B514" i="18" s="1"/>
  <c r="D514" i="18" s="1"/>
  <c r="B293" i="18" a="1"/>
  <c r="B293" i="18" s="1"/>
  <c r="D293" i="18" s="1"/>
  <c r="B355" i="18" a="1"/>
  <c r="B355" i="18" s="1"/>
  <c r="D355" i="18" s="1"/>
  <c r="B215" i="18" a="1"/>
  <c r="B215" i="18" s="1"/>
  <c r="D215" i="18" s="1"/>
  <c r="B702" i="18" a="1"/>
  <c r="B702" i="18" s="1"/>
  <c r="D702" i="18" s="1"/>
  <c r="B22" i="18" a="1"/>
  <c r="B22" i="18" s="1"/>
  <c r="D22" i="18" s="1"/>
  <c r="B172" i="18" a="1"/>
  <c r="B172" i="18" s="1"/>
  <c r="D172" i="18" s="1"/>
  <c r="B295" i="18" a="1"/>
  <c r="B295" i="18" s="1"/>
  <c r="D295" i="18" s="1"/>
  <c r="B732" i="18" a="1"/>
  <c r="B732" i="18" s="1"/>
  <c r="D732" i="18" s="1"/>
  <c r="B469" i="18" a="1"/>
  <c r="B469" i="18" s="1"/>
  <c r="D469" i="18" s="1"/>
  <c r="B43" i="18" a="1"/>
  <c r="B43" i="18" s="1"/>
  <c r="D43" i="18" s="1"/>
  <c r="B302" i="18" a="1"/>
  <c r="B302" i="18" s="1"/>
  <c r="D302" i="18" s="1"/>
  <c r="B11" i="18" a="1"/>
  <c r="B11" i="18" s="1"/>
  <c r="D11" i="18" s="1"/>
  <c r="B55" i="18" a="1"/>
  <c r="B55" i="18" s="1"/>
  <c r="D55" i="18" s="1"/>
  <c r="B372" i="18" a="1"/>
  <c r="B372" i="18" s="1"/>
  <c r="D372" i="18" s="1"/>
  <c r="B625" i="18" a="1"/>
  <c r="B625" i="18" s="1"/>
  <c r="D625" i="18" s="1"/>
  <c r="B535" i="18" a="1"/>
  <c r="B535" i="18" s="1"/>
  <c r="D535" i="18" s="1"/>
  <c r="B383" i="18" a="1"/>
  <c r="B383" i="18" s="1"/>
  <c r="D383" i="18" s="1"/>
  <c r="B618" i="18" a="1"/>
  <c r="B618" i="18" s="1"/>
  <c r="D618" i="18" s="1"/>
  <c r="B609" i="18" a="1"/>
  <c r="B609" i="18" s="1"/>
  <c r="D609" i="18" s="1"/>
  <c r="B173" i="18" a="1"/>
  <c r="B173" i="18" s="1"/>
  <c r="D173" i="18" s="1"/>
  <c r="B299" i="18" a="1"/>
  <c r="B299" i="18" s="1"/>
  <c r="D299" i="18" s="1"/>
  <c r="B319" i="18" a="1"/>
  <c r="B319" i="18" s="1"/>
  <c r="D319" i="18" s="1"/>
  <c r="B619" i="18" a="1"/>
  <c r="B619" i="18" s="1"/>
  <c r="D619" i="18" s="1"/>
  <c r="B19" i="18" a="1"/>
  <c r="B19" i="18" s="1"/>
  <c r="D19" i="18" s="1"/>
  <c r="B703" i="18" a="1"/>
  <c r="B703" i="18" s="1"/>
  <c r="D703" i="18" s="1"/>
  <c r="B568" i="18" a="1"/>
  <c r="B568" i="18" s="1"/>
  <c r="D568" i="18" s="1"/>
  <c r="B667" i="18" a="1"/>
  <c r="B667" i="18" s="1"/>
  <c r="D667" i="18" s="1"/>
  <c r="B184" i="18" a="1"/>
  <c r="B184" i="18" s="1"/>
  <c r="D184" i="18" s="1"/>
  <c r="B143" i="18" a="1"/>
  <c r="B143" i="18" s="1"/>
  <c r="D143" i="18" s="1"/>
  <c r="B515" i="18" a="1"/>
  <c r="B515" i="18" s="1"/>
  <c r="D515" i="18" s="1"/>
  <c r="B313" i="18" a="1"/>
  <c r="B313" i="18" s="1"/>
  <c r="D313" i="18" s="1"/>
  <c r="B675" i="18" a="1"/>
  <c r="B675" i="18" s="1"/>
  <c r="D675" i="18" s="1"/>
  <c r="B587" i="18" a="1"/>
  <c r="B587" i="18" s="1"/>
  <c r="D587" i="18" s="1"/>
  <c r="B174" i="18" a="1"/>
  <c r="B174" i="18" s="1"/>
  <c r="D174" i="18" s="1"/>
  <c r="B586" i="18" a="1"/>
  <c r="B586" i="18" s="1"/>
  <c r="D586" i="18" s="1"/>
  <c r="B249" i="18" a="1"/>
  <c r="B249" i="18" s="1"/>
  <c r="D249" i="18" s="1"/>
  <c r="B462" i="18" a="1"/>
  <c r="B462" i="18" s="1"/>
  <c r="D462" i="18" s="1"/>
  <c r="B690" i="18" a="1"/>
  <c r="B690" i="18" s="1"/>
  <c r="D690" i="18" s="1"/>
  <c r="B687" i="18" a="1"/>
  <c r="B687" i="18" s="1"/>
  <c r="D687" i="18" s="1"/>
  <c r="B252" i="18" a="1"/>
  <c r="B252" i="18" s="1"/>
  <c r="D252" i="18" s="1"/>
  <c r="B282" i="18" a="1"/>
  <c r="B282" i="18" s="1"/>
  <c r="D282" i="18" s="1"/>
  <c r="B395" i="18" a="1"/>
  <c r="B395" i="18" s="1"/>
  <c r="D395" i="18" s="1"/>
  <c r="B658" i="18" a="1"/>
  <c r="B658" i="18" s="1"/>
  <c r="D658" i="18" s="1"/>
  <c r="B162" i="18" a="1"/>
  <c r="B162" i="18" s="1"/>
  <c r="D162" i="18" s="1"/>
  <c r="B365" i="18" a="1"/>
  <c r="B365" i="18" s="1"/>
  <c r="D365" i="18" s="1"/>
  <c r="B539" i="18" a="1"/>
  <c r="B539" i="18" s="1"/>
  <c r="D539" i="18" s="1"/>
  <c r="B530" i="18" a="1"/>
  <c r="B530" i="18" s="1"/>
  <c r="D530" i="18" s="1"/>
  <c r="B656" i="18" a="1"/>
  <c r="B656" i="18" s="1"/>
  <c r="D656" i="18" s="1"/>
  <c r="B280" i="18" a="1"/>
  <c r="B280" i="18" s="1"/>
  <c r="D280" i="18" s="1"/>
  <c r="B628" i="18" a="1"/>
  <c r="B628" i="18" s="1"/>
  <c r="D628" i="18" s="1"/>
  <c r="B349" i="18" a="1"/>
  <c r="B349" i="18" s="1"/>
  <c r="D349" i="18" s="1"/>
  <c r="B95" i="18" a="1"/>
  <c r="B95" i="18" s="1"/>
  <c r="D95" i="18" s="1"/>
  <c r="B470" i="18" a="1"/>
  <c r="B470" i="18" s="1"/>
  <c r="D470" i="18" s="1"/>
  <c r="B742" i="18" a="1"/>
  <c r="B742" i="18" s="1"/>
  <c r="D742" i="18" s="1"/>
  <c r="B261" i="18" a="1"/>
  <c r="B261" i="18" s="1"/>
  <c r="D261" i="18" s="1"/>
  <c r="B559" i="18" a="1"/>
  <c r="B559" i="18" s="1"/>
  <c r="D559" i="18" s="1"/>
  <c r="B243" i="18" a="1"/>
  <c r="B243" i="18" s="1"/>
  <c r="D243" i="18" s="1"/>
  <c r="B28" i="18" a="1"/>
  <c r="B28" i="18" s="1"/>
  <c r="D28" i="18" s="1"/>
  <c r="B151" i="18" a="1"/>
  <c r="B151" i="18" s="1"/>
  <c r="D151" i="18" s="1"/>
  <c r="B726" i="18" a="1"/>
  <c r="B726" i="18" s="1"/>
  <c r="D726" i="18" s="1"/>
  <c r="B122" i="18" a="1"/>
  <c r="B122" i="18" s="1"/>
  <c r="D122" i="18" s="1"/>
  <c r="B73" i="18" a="1"/>
  <c r="B73" i="18" s="1"/>
  <c r="D73" i="18" s="1"/>
  <c r="B50" i="18" a="1"/>
  <c r="B50" i="18" s="1"/>
  <c r="D50" i="18" s="1"/>
  <c r="B739" i="18" a="1"/>
  <c r="B739" i="18" s="1"/>
  <c r="D739" i="18" s="1"/>
  <c r="B486" i="18" a="1"/>
  <c r="B486" i="18" s="1"/>
  <c r="D486" i="18" s="1"/>
  <c r="B722" i="18" a="1"/>
  <c r="B722" i="18" s="1"/>
  <c r="D722" i="18" s="1"/>
  <c r="B16" i="18" a="1"/>
  <c r="B16" i="18" s="1"/>
  <c r="D16" i="18" s="1"/>
  <c r="B221" i="18" a="1"/>
  <c r="B221" i="18" s="1"/>
  <c r="D221" i="18" s="1"/>
  <c r="B328" i="18" a="1"/>
  <c r="B328" i="18" s="1"/>
  <c r="D328" i="18" s="1"/>
  <c r="B493" i="18" a="1"/>
  <c r="B493" i="18" s="1"/>
  <c r="D493" i="18" s="1"/>
  <c r="B4" i="18" a="1"/>
  <c r="B4" i="18" s="1"/>
  <c r="D4" i="18" s="1"/>
  <c r="B621" i="18" a="1"/>
  <c r="B621" i="18" s="1"/>
  <c r="D621" i="18" s="1"/>
  <c r="B382" i="18" a="1"/>
  <c r="B382" i="18" s="1"/>
  <c r="D382" i="18" s="1"/>
  <c r="B504" i="18" a="1"/>
  <c r="B504" i="18" s="1"/>
  <c r="D504" i="18" s="1"/>
  <c r="B734" i="18" a="1"/>
  <c r="B734" i="18" s="1"/>
  <c r="D734" i="18" s="1"/>
  <c r="B48" i="18" a="1"/>
  <c r="B48" i="18" s="1"/>
  <c r="D48" i="18" s="1"/>
  <c r="B254" i="18" a="1"/>
  <c r="B254" i="18" s="1"/>
  <c r="D254" i="18" s="1"/>
  <c r="B291" i="18" a="1"/>
  <c r="B291" i="18" s="1"/>
  <c r="D291" i="18" s="1"/>
  <c r="B611" i="18" a="1"/>
  <c r="B611" i="18" s="1"/>
  <c r="D611" i="18" s="1"/>
  <c r="B45" i="18" a="1"/>
  <c r="B45" i="18" s="1"/>
  <c r="D45" i="18" s="1"/>
  <c r="B396" i="18" a="1"/>
  <c r="B396" i="18" s="1"/>
  <c r="D396" i="18" s="1"/>
  <c r="B119" i="18" a="1"/>
  <c r="B119" i="18" s="1"/>
  <c r="D119" i="18" s="1"/>
  <c r="B118" i="18" a="1"/>
  <c r="B118" i="18" s="1"/>
  <c r="D118" i="18" s="1"/>
  <c r="B650" i="18" a="1"/>
  <c r="B650" i="18" s="1"/>
  <c r="D650" i="18" s="1"/>
  <c r="B89" i="18" a="1"/>
  <c r="B89" i="18" s="1"/>
  <c r="D89" i="18" s="1"/>
  <c r="B90" i="18" a="1"/>
  <c r="B90" i="18" s="1"/>
  <c r="D90" i="18" s="1"/>
  <c r="B160" i="18" a="1"/>
  <c r="B160" i="18" s="1"/>
  <c r="D160" i="18" s="1"/>
  <c r="B566" i="18" a="1"/>
  <c r="B566" i="18" s="1"/>
  <c r="D566" i="18" s="1"/>
  <c r="B25" i="18" a="1"/>
  <c r="B25" i="18" s="1"/>
  <c r="D25" i="18" s="1"/>
  <c r="B235" i="18" a="1"/>
  <c r="B235" i="18" s="1"/>
  <c r="D235" i="18" s="1"/>
  <c r="B536" i="18" a="1"/>
  <c r="B536" i="18" s="1"/>
  <c r="D536" i="18" s="1"/>
  <c r="B331" i="18" a="1"/>
  <c r="B331" i="18" s="1"/>
  <c r="D331" i="18" s="1"/>
  <c r="B654" i="18" a="1"/>
  <c r="B654" i="18" s="1"/>
  <c r="D654" i="18" s="1"/>
  <c r="B591" i="18" a="1"/>
  <c r="B591" i="18" s="1"/>
  <c r="D591" i="18" s="1"/>
  <c r="B479" i="18" a="1"/>
  <c r="B479" i="18" s="1"/>
  <c r="D479" i="18" s="1"/>
  <c r="B336" i="18" a="1"/>
  <c r="B336" i="18" s="1"/>
  <c r="D336" i="18" s="1"/>
  <c r="B30" i="18" a="1"/>
  <c r="B30" i="18" s="1"/>
  <c r="D30" i="18" s="1"/>
  <c r="B684" i="18" a="1"/>
  <c r="B684" i="18" s="1"/>
  <c r="D684" i="18" s="1"/>
  <c r="B473" i="18" a="1"/>
  <c r="B473" i="18" s="1"/>
  <c r="D473" i="18" s="1"/>
  <c r="B506" i="18" a="1"/>
  <c r="B506" i="18" s="1"/>
  <c r="D506" i="18" s="1"/>
  <c r="B457" i="18" a="1"/>
  <c r="B457" i="18" s="1"/>
  <c r="D457" i="18" s="1"/>
  <c r="B10" i="18" a="1"/>
  <c r="B10" i="18" s="1"/>
  <c r="D10" i="18" s="1"/>
  <c r="B700" i="18" a="1"/>
  <c r="B700" i="18" s="1"/>
  <c r="D700" i="18" s="1"/>
  <c r="B21" i="18" a="1"/>
  <c r="B21" i="18" s="1"/>
  <c r="D21" i="18" s="1"/>
  <c r="B51" i="18" a="1"/>
  <c r="B51" i="18" s="1"/>
  <c r="D51" i="18" s="1"/>
  <c r="B393" i="18" a="1"/>
  <c r="B393" i="18" s="1"/>
  <c r="D393" i="18" s="1"/>
  <c r="B757" i="18" a="1"/>
  <c r="B757" i="18" s="1"/>
  <c r="D757" i="18" s="1"/>
  <c r="B200" i="18" a="1"/>
  <c r="B200" i="18" s="1"/>
  <c r="D200" i="18" s="1"/>
  <c r="B408" i="18" a="1"/>
  <c r="B408" i="18" s="1"/>
  <c r="D408" i="18" s="1"/>
  <c r="B367" i="18" a="1"/>
  <c r="B367" i="18" s="1"/>
  <c r="D367" i="18" s="1"/>
  <c r="B631" i="18" a="1"/>
  <c r="B631" i="18" s="1"/>
  <c r="D631" i="18" s="1"/>
  <c r="B579" i="18" a="1"/>
  <c r="B579" i="18" s="1"/>
  <c r="D579" i="18" s="1"/>
  <c r="B354" i="18" a="1"/>
  <c r="B354" i="18" s="1"/>
  <c r="D354" i="18" s="1"/>
  <c r="B429" i="18" a="1"/>
  <c r="B429" i="18" s="1"/>
  <c r="D429" i="18" s="1"/>
  <c r="B497" i="18" a="1"/>
  <c r="B497" i="18" s="1"/>
  <c r="D497" i="18" s="1"/>
  <c r="B678" i="18" a="1"/>
  <c r="B678" i="18" s="1"/>
  <c r="D678" i="18" s="1"/>
  <c r="B670" i="18" a="1"/>
  <c r="B670" i="18" s="1"/>
  <c r="D670" i="18" s="1"/>
  <c r="B334" i="18" a="1"/>
  <c r="B334" i="18" s="1"/>
  <c r="D334" i="18" s="1"/>
  <c r="B692" i="18" a="1"/>
  <c r="B692" i="18" s="1"/>
  <c r="D692" i="18" s="1"/>
  <c r="B440" i="18" a="1"/>
  <c r="B440" i="18" s="1"/>
  <c r="D440" i="18" s="1"/>
  <c r="B698" i="18" a="1"/>
  <c r="B698" i="18" s="1"/>
  <c r="D698" i="18" s="1"/>
  <c r="B532" i="18" a="1"/>
  <c r="B532" i="18" s="1"/>
  <c r="D532" i="18" s="1"/>
  <c r="B765" i="18" a="1"/>
  <c r="B765" i="18" s="1"/>
  <c r="D765" i="18" s="1"/>
  <c r="B80" i="18" a="1"/>
  <c r="B80" i="18" s="1"/>
  <c r="D80" i="18" s="1"/>
  <c r="B176" i="18" a="1"/>
  <c r="B176" i="18" s="1"/>
  <c r="D176" i="18" s="1"/>
  <c r="B255" i="18" a="1"/>
  <c r="B255" i="18" s="1"/>
  <c r="D255" i="18" s="1"/>
  <c r="B528" i="18" a="1"/>
  <c r="B528" i="18" s="1"/>
  <c r="D528" i="18" s="1"/>
  <c r="B345" i="18" a="1"/>
  <c r="B345" i="18" s="1"/>
  <c r="D345" i="18" s="1"/>
  <c r="B106" i="18" a="1"/>
  <c r="B106" i="18" s="1"/>
  <c r="D106" i="18" s="1"/>
  <c r="B573" i="18" a="1"/>
  <c r="B573" i="18" s="1"/>
  <c r="D573" i="18" s="1"/>
  <c r="B551" i="18" a="1"/>
  <c r="B551" i="18" s="1"/>
  <c r="D551" i="18" s="1"/>
  <c r="B214" i="18" a="1"/>
  <c r="B214" i="18" s="1"/>
  <c r="D214" i="18" s="1"/>
  <c r="B58" i="18" a="1"/>
  <c r="B58" i="18" s="1"/>
  <c r="D58" i="18" s="1"/>
  <c r="B42" i="18" a="1"/>
  <c r="B42" i="18" s="1"/>
  <c r="D42" i="18" s="1"/>
  <c r="B575" i="18" a="1"/>
  <c r="B575" i="18" s="1"/>
  <c r="D575" i="18" s="1"/>
  <c r="B309" i="18" a="1"/>
  <c r="B309" i="18" s="1"/>
  <c r="D309" i="18" s="1"/>
  <c r="B612" i="18" a="1"/>
  <c r="B612" i="18" s="1"/>
  <c r="D612" i="18" s="1"/>
  <c r="B171" i="18" a="1"/>
  <c r="B171" i="18" s="1"/>
  <c r="D171" i="18" s="1"/>
  <c r="B228" i="18" a="1"/>
  <c r="B228" i="18" s="1"/>
  <c r="D228" i="18" s="1"/>
  <c r="B704" i="18" a="1"/>
  <c r="B704" i="18" s="1"/>
  <c r="D704" i="18" s="1"/>
  <c r="B136" i="18" a="1"/>
  <c r="B136" i="18" s="1"/>
  <c r="D136" i="18" s="1"/>
  <c r="B81" i="18" a="1"/>
  <c r="B81" i="18" s="1"/>
  <c r="D81" i="18" s="1"/>
  <c r="B294" i="18" a="1"/>
  <c r="B294" i="18" s="1"/>
  <c r="D294" i="18" s="1"/>
  <c r="B206" i="18" a="1"/>
  <c r="B206" i="18" s="1"/>
  <c r="D206" i="18" s="1"/>
  <c r="B53" i="18" a="1"/>
  <c r="B53" i="18" s="1"/>
  <c r="D53" i="18" s="1"/>
  <c r="B417" i="18" a="1"/>
  <c r="B417" i="18" s="1"/>
  <c r="D417" i="18" s="1"/>
  <c r="B691" i="18" a="1"/>
  <c r="B691" i="18" s="1"/>
  <c r="D691" i="18" s="1"/>
  <c r="B230" i="18" a="1"/>
  <c r="B230" i="18" s="1"/>
  <c r="D230" i="18" s="1"/>
  <c r="B394" i="18" a="1"/>
  <c r="B394" i="18" s="1"/>
  <c r="D394" i="18" s="1"/>
  <c r="B604" i="18" a="1"/>
  <c r="B604" i="18" s="1"/>
  <c r="D604" i="18" s="1"/>
  <c r="B733" i="18" a="1"/>
  <c r="B733" i="18" s="1"/>
  <c r="D733" i="18" s="1"/>
  <c r="B47" i="18" a="1"/>
  <c r="B47" i="18" s="1"/>
  <c r="D47" i="18" s="1"/>
  <c r="B662" i="18" a="1"/>
  <c r="B662" i="18" s="1"/>
  <c r="D662" i="18" s="1"/>
  <c r="B8" i="18" a="1"/>
  <c r="B8" i="18" s="1"/>
  <c r="D8" i="18" s="1"/>
  <c r="B581" i="18" a="1"/>
  <c r="B581" i="18" s="1"/>
  <c r="D581" i="18" s="1"/>
  <c r="B599" i="18" a="1"/>
  <c r="B599" i="18" s="1"/>
  <c r="D599" i="18" s="1"/>
  <c r="B144" i="18" a="1"/>
  <c r="B144" i="18" s="1"/>
  <c r="D144" i="18" s="1"/>
  <c r="B552" i="18" a="1"/>
  <c r="B552" i="18" s="1"/>
  <c r="D552" i="18" s="1"/>
  <c r="B259" i="18" a="1"/>
  <c r="B259" i="18" s="1"/>
  <c r="D259" i="18" s="1"/>
  <c r="B64" i="18" a="1"/>
  <c r="B64" i="18" s="1"/>
  <c r="D64" i="18" s="1"/>
  <c r="B413" i="18" a="1"/>
  <c r="B413" i="18" s="1"/>
  <c r="D413" i="18" s="1"/>
  <c r="B713" i="18" a="1"/>
  <c r="B713" i="18" s="1"/>
  <c r="D713" i="18" s="1"/>
  <c r="B642" i="18" a="1"/>
  <c r="B642" i="18" s="1"/>
  <c r="D642" i="18" s="1"/>
  <c r="B542" i="18" a="1"/>
  <c r="B542" i="18" s="1"/>
  <c r="D542" i="18" s="1"/>
  <c r="B277" i="18" a="1"/>
  <c r="B277" i="18" s="1"/>
  <c r="D277" i="18" s="1"/>
  <c r="B648" i="18" a="1"/>
  <c r="B648" i="18" s="1"/>
  <c r="D648" i="18" s="1"/>
  <c r="B358" i="18" a="1"/>
  <c r="B358" i="18" s="1"/>
  <c r="D358" i="18" s="1"/>
  <c r="B547" i="18" a="1"/>
  <c r="B547" i="18" s="1"/>
  <c r="D547" i="18" s="1"/>
  <c r="B517" i="18" a="1"/>
  <c r="B517" i="18" s="1"/>
  <c r="D517" i="18" s="1"/>
  <c r="B629" i="18" a="1"/>
  <c r="B629" i="18" s="1"/>
  <c r="D629" i="18" s="1"/>
  <c r="B287" i="18" a="1"/>
  <c r="B287" i="18" s="1"/>
  <c r="D287" i="18" s="1"/>
  <c r="B323" i="18" a="1"/>
  <c r="B323" i="18" s="1"/>
  <c r="D323" i="18" s="1"/>
  <c r="B651" i="18" a="1"/>
  <c r="B651" i="18" s="1"/>
  <c r="D651" i="18" s="1"/>
  <c r="B564" i="18" a="1"/>
  <c r="B564" i="18" s="1"/>
  <c r="D564" i="18" s="1"/>
  <c r="B653" i="18" a="1"/>
  <c r="B653" i="18" s="1"/>
  <c r="D653" i="18" s="1"/>
  <c r="B441" i="18" a="1"/>
  <c r="B441" i="18" s="1"/>
  <c r="D441" i="18" s="1"/>
  <c r="B481" i="18" a="1"/>
  <c r="B481" i="18" s="1"/>
  <c r="D481" i="18" s="1"/>
  <c r="B389" i="18" a="1"/>
  <c r="B389" i="18" s="1"/>
  <c r="D389" i="18" s="1"/>
  <c r="B641" i="18" a="1"/>
  <c r="B641" i="18" s="1"/>
  <c r="D641" i="18" s="1"/>
  <c r="B432" i="18" a="1"/>
  <c r="B432" i="18" s="1"/>
  <c r="D432" i="18" s="1"/>
  <c r="B44" i="18" a="1"/>
  <c r="B44" i="18" s="1"/>
  <c r="D44" i="18" s="1"/>
  <c r="B311" i="18" a="1"/>
  <c r="B311" i="18" s="1"/>
  <c r="D311" i="18" s="1"/>
  <c r="B108" i="18" a="1"/>
  <c r="B108" i="18" s="1"/>
  <c r="D108" i="18" s="1"/>
  <c r="B513" i="18" a="1"/>
  <c r="B513" i="18" s="1"/>
  <c r="D513" i="18" s="1"/>
  <c r="B199" i="18" a="1"/>
  <c r="B199" i="18" s="1"/>
  <c r="D199" i="18" s="1"/>
  <c r="B636" i="18" a="1"/>
  <c r="B636" i="18" s="1"/>
  <c r="D636" i="18" s="1"/>
  <c r="B741" i="18" a="1"/>
  <c r="B741" i="18" s="1"/>
  <c r="D741" i="18" s="1"/>
  <c r="B392" i="18" a="1"/>
  <c r="B392" i="18" s="1"/>
  <c r="D392" i="18" s="1"/>
  <c r="B290" i="18" a="1"/>
  <c r="B290" i="18" s="1"/>
  <c r="D290" i="18" s="1"/>
  <c r="B715" i="18" a="1"/>
  <c r="B715" i="18" s="1"/>
  <c r="D715" i="18" s="1"/>
  <c r="B102" i="18" a="1"/>
  <c r="B102" i="18" s="1"/>
  <c r="D102" i="18" s="1"/>
  <c r="B694" i="18" a="1"/>
  <c r="B694" i="18" s="1"/>
  <c r="D694" i="18" s="1"/>
  <c r="B541" i="18" a="1"/>
  <c r="B541" i="18" s="1"/>
  <c r="D541" i="18" s="1"/>
  <c r="B453" i="18" a="1"/>
  <c r="B453" i="18" s="1"/>
  <c r="D453" i="18" s="1"/>
  <c r="B20" i="18" a="1"/>
  <c r="B20" i="18" s="1"/>
  <c r="D20" i="18" s="1"/>
  <c r="B674" i="18" a="1"/>
  <c r="B674" i="18" s="1"/>
  <c r="D674" i="18" s="1"/>
  <c r="B414" i="18" a="1"/>
  <c r="B414" i="18" s="1"/>
  <c r="D414" i="18" s="1"/>
  <c r="B132" i="18" a="1"/>
  <c r="B132" i="18" s="1"/>
  <c r="D132" i="18" s="1"/>
  <c r="B439" i="18" a="1"/>
  <c r="B439" i="18" s="1"/>
  <c r="D439" i="18" s="1"/>
  <c r="B71" i="18" a="1"/>
  <c r="B71" i="18" s="1"/>
  <c r="D71" i="18" s="1"/>
  <c r="B397" i="18" a="1"/>
  <c r="B397" i="18" s="1"/>
  <c r="D397" i="18" s="1"/>
  <c r="B348" i="18" a="1"/>
  <c r="B348" i="18" s="1"/>
  <c r="D348" i="18" s="1"/>
  <c r="B202" i="18" a="1"/>
  <c r="B202" i="18" s="1"/>
  <c r="D202" i="18" s="1"/>
  <c r="B375" i="18" a="1"/>
  <c r="B375" i="18" s="1"/>
  <c r="D375" i="18" s="1"/>
  <c r="B366" i="18" a="1"/>
  <c r="B366" i="18" s="1"/>
  <c r="D366" i="18" s="1"/>
  <c r="B306" i="18" a="1"/>
  <c r="B306" i="18" s="1"/>
  <c r="D306" i="18" s="1"/>
  <c r="B159" i="18" a="1"/>
  <c r="B159" i="18" s="1"/>
  <c r="D159" i="18" s="1"/>
  <c r="B379" i="18" a="1"/>
  <c r="B379" i="18" s="1"/>
  <c r="D379" i="18" s="1"/>
  <c r="B183" i="18" a="1"/>
  <c r="B183" i="18" s="1"/>
  <c r="D183" i="18" s="1"/>
  <c r="B597" i="18" a="1"/>
  <c r="B597" i="18" s="1"/>
  <c r="D597" i="18" s="1"/>
  <c r="B273" i="18" a="1"/>
  <c r="B273" i="18" s="1"/>
  <c r="D273" i="18" s="1"/>
  <c r="B296" i="18" a="1"/>
  <c r="B296" i="18" s="1"/>
  <c r="D296" i="18" s="1"/>
  <c r="B735" i="18" a="1"/>
  <c r="B735" i="18" s="1"/>
  <c r="D735" i="18" s="1"/>
  <c r="B350" i="18" a="1"/>
  <c r="B350" i="18" s="1"/>
  <c r="D350" i="18" s="1"/>
  <c r="B719" i="18" a="1"/>
  <c r="B719" i="18" s="1"/>
  <c r="D719" i="18" s="1"/>
  <c r="B637" i="18" a="1"/>
  <c r="B637" i="18" s="1"/>
  <c r="D637" i="18" s="1"/>
  <c r="B232" i="18" a="1"/>
  <c r="B232" i="18" s="1"/>
  <c r="D232" i="18" s="1"/>
  <c r="B438" i="18" a="1"/>
  <c r="B438" i="18" s="1"/>
  <c r="D438" i="18" s="1"/>
  <c r="B526" i="18" a="1"/>
  <c r="B526" i="18" s="1"/>
  <c r="D526" i="18" s="1"/>
  <c r="B519" i="18" a="1"/>
  <c r="B519" i="18" s="1"/>
  <c r="D519" i="18" s="1"/>
  <c r="B86" i="18" a="1"/>
  <c r="B86" i="18" s="1"/>
  <c r="D86" i="18" s="1"/>
  <c r="B459" i="18" a="1"/>
  <c r="B459" i="18" s="1"/>
  <c r="D459" i="18" s="1"/>
  <c r="B677" i="18" a="1"/>
  <c r="B677" i="18" s="1"/>
  <c r="D677" i="18" s="1"/>
  <c r="B340" i="18" a="1"/>
  <c r="B340" i="18" s="1"/>
  <c r="D340" i="18" s="1"/>
  <c r="B208" i="18" a="1"/>
  <c r="B208" i="18" s="1"/>
  <c r="D208" i="18" s="1"/>
  <c r="B750" i="18" a="1"/>
  <c r="B750" i="18" s="1"/>
  <c r="D750" i="18" s="1"/>
  <c r="B116" i="18" a="1"/>
  <c r="B116" i="18" s="1"/>
  <c r="D116" i="18" s="1"/>
  <c r="B645" i="18" a="1"/>
  <c r="B645" i="18" s="1"/>
  <c r="D645" i="18" s="1"/>
  <c r="B74" i="18" a="1"/>
  <c r="B74" i="18" s="1"/>
  <c r="D74" i="18" s="1"/>
  <c r="B213" i="18" a="1"/>
  <c r="B213" i="18" s="1"/>
  <c r="D213" i="18" s="1"/>
  <c r="B362" i="18" a="1"/>
  <c r="B362" i="18" s="1"/>
  <c r="D362" i="18" s="1"/>
  <c r="B115" i="18" a="1"/>
  <c r="B115" i="18" s="1"/>
  <c r="D115" i="18" s="1"/>
  <c r="B720" i="18" a="1"/>
  <c r="B720" i="18" s="1"/>
  <c r="D720" i="18" s="1"/>
  <c r="B563" i="18" a="1"/>
  <c r="B563" i="18" s="1"/>
  <c r="D563" i="18" s="1"/>
  <c r="B449" i="18" a="1"/>
  <c r="B449" i="18" s="1"/>
  <c r="D449" i="18" s="1"/>
  <c r="B321" i="18" a="1"/>
  <c r="B321" i="18" s="1"/>
  <c r="D321" i="18" s="1"/>
  <c r="B613" i="18" a="1"/>
  <c r="B613" i="18" s="1"/>
  <c r="D613" i="18" s="1"/>
  <c r="B142" i="18" a="1"/>
  <c r="B142" i="18" s="1"/>
  <c r="D142" i="18" s="1"/>
  <c r="B241" i="18" a="1"/>
  <c r="B241" i="18" s="1"/>
  <c r="D241" i="18" s="1"/>
  <c r="B761" i="18" a="1"/>
  <c r="B761" i="18" s="1"/>
  <c r="D761" i="18" s="1"/>
  <c r="B283" i="18" a="1"/>
  <c r="B283" i="18" s="1"/>
  <c r="D283" i="18" s="1"/>
  <c r="B510" i="18" a="1"/>
  <c r="B510" i="18" s="1"/>
  <c r="D510" i="18" s="1"/>
  <c r="B524" i="18" a="1"/>
  <c r="B524" i="18" s="1"/>
  <c r="D524" i="18" s="1"/>
  <c r="B344" i="18" a="1"/>
  <c r="B344" i="18" s="1"/>
  <c r="D344" i="18" s="1"/>
  <c r="B669" i="18" a="1"/>
  <c r="B669" i="18" s="1"/>
  <c r="D669" i="18" s="1"/>
  <c r="B386" i="18" a="1"/>
  <c r="B386" i="18" s="1"/>
  <c r="D386" i="18" s="1"/>
  <c r="B384" i="18" a="1"/>
  <c r="B384" i="18" s="1"/>
  <c r="D384" i="18" s="1"/>
  <c r="B533" i="18" a="1"/>
  <c r="B533" i="18" s="1"/>
  <c r="D533" i="18" s="1"/>
  <c r="B9" i="18" a="1"/>
  <c r="B9" i="18" s="1"/>
  <c r="D9" i="18" s="1"/>
  <c r="B59" i="18" a="1"/>
  <c r="B59" i="18" s="1"/>
  <c r="D59" i="18" s="1"/>
  <c r="B387" i="18" a="1"/>
  <c r="B387" i="18" s="1"/>
  <c r="D387" i="18" s="1"/>
  <c r="B499" i="18" a="1"/>
  <c r="B499" i="18" s="1"/>
  <c r="D499" i="18" s="1"/>
  <c r="B644" i="18" a="1"/>
  <c r="B644" i="18" s="1"/>
  <c r="D644" i="18" s="1"/>
  <c r="B580" i="18" a="1"/>
  <c r="B580" i="18" s="1"/>
  <c r="D580" i="18" s="1"/>
  <c r="B117" i="18" a="1"/>
  <c r="B117" i="18" s="1"/>
  <c r="D117" i="18" s="1"/>
  <c r="B605" i="18" a="1"/>
  <c r="B605" i="18" s="1"/>
  <c r="D605" i="18" s="1"/>
  <c r="B229" i="18" a="1"/>
  <c r="B229" i="18" s="1"/>
  <c r="D229" i="18" s="1"/>
  <c r="B368" i="18" a="1"/>
  <c r="B368" i="18" s="1"/>
  <c r="D368" i="18" s="1"/>
  <c r="B492" i="18" a="1"/>
  <c r="B492" i="18" s="1"/>
  <c r="D492" i="18" s="1"/>
  <c r="B509" i="18" a="1"/>
  <c r="B509" i="18" s="1"/>
  <c r="D509" i="18" s="1"/>
  <c r="B76" i="18" a="1"/>
  <c r="B76" i="18" s="1"/>
  <c r="D76" i="18" s="1"/>
  <c r="B505" i="18" a="1"/>
  <c r="B505" i="18" s="1"/>
  <c r="D505" i="18" s="1"/>
  <c r="B304" i="18" a="1"/>
  <c r="B304" i="18" s="1"/>
  <c r="D304" i="18" s="1"/>
  <c r="B225" i="18" a="1"/>
  <c r="B225" i="18" s="1"/>
  <c r="D225" i="18" s="1"/>
  <c r="B77" i="18" a="1"/>
  <c r="B77" i="18" s="1"/>
  <c r="D77" i="18" s="1"/>
  <c r="B745" i="18" a="1"/>
  <c r="B745" i="18" s="1"/>
  <c r="D745" i="18" s="1"/>
  <c r="B696" i="18" a="1"/>
  <c r="B696" i="18" s="1"/>
  <c r="D696" i="18" s="1"/>
  <c r="B615" i="18" a="1"/>
  <c r="B615" i="18" s="1"/>
  <c r="D615" i="18" s="1"/>
  <c r="B744" i="18" a="1"/>
  <c r="B744" i="18" s="1"/>
  <c r="D744" i="18" s="1"/>
  <c r="B738" i="18" a="1"/>
  <c r="B738" i="18" s="1"/>
  <c r="D738" i="18" s="1"/>
  <c r="B610" i="18" a="1"/>
  <c r="B610" i="18" s="1"/>
  <c r="D610" i="18" s="1"/>
  <c r="B458" i="18" a="1"/>
  <c r="B458" i="18" s="1"/>
  <c r="D458" i="18" s="1"/>
  <c r="B32" i="18" a="1"/>
  <c r="B32" i="18" s="1"/>
  <c r="D32" i="18" s="1"/>
  <c r="B67" i="18" a="1"/>
  <c r="B67" i="18" s="1"/>
  <c r="D67" i="18" s="1"/>
  <c r="B679" i="18" a="1"/>
  <c r="B679" i="18" s="1"/>
  <c r="D679" i="18" s="1"/>
  <c r="B34" i="18" a="1"/>
  <c r="B34" i="18" s="1"/>
  <c r="D34" i="18" s="1"/>
  <c r="B125" i="18" a="1"/>
  <c r="B125" i="18" s="1"/>
  <c r="D125" i="18" s="1"/>
  <c r="B13" i="18" a="1"/>
  <c r="B13" i="18" s="1"/>
  <c r="D13" i="18" s="1"/>
  <c r="B193" i="18" a="1"/>
  <c r="B193" i="18" s="1"/>
  <c r="D193" i="18" s="1"/>
  <c r="B79" i="18" a="1"/>
  <c r="B79" i="18" s="1"/>
  <c r="D79" i="18" s="1"/>
  <c r="B278" i="18" a="1"/>
  <c r="B278" i="18" s="1"/>
  <c r="D278" i="18" s="1"/>
  <c r="B626" i="18" a="1"/>
  <c r="B626" i="18" s="1"/>
  <c r="D626" i="18" s="1"/>
  <c r="B762" i="18" a="1"/>
  <c r="B762" i="18" s="1"/>
  <c r="D762" i="18" s="1"/>
  <c r="B156" i="18" a="1"/>
  <c r="B156" i="18" s="1"/>
  <c r="D156" i="18" s="1"/>
  <c r="B718" i="18" a="1"/>
  <c r="B718" i="18" s="1"/>
  <c r="D718" i="18" s="1"/>
  <c r="B498" i="18" a="1"/>
  <c r="B498" i="18" s="1"/>
  <c r="D498" i="18" s="1"/>
  <c r="B209" i="18" a="1"/>
  <c r="B209" i="18" s="1"/>
  <c r="D209" i="18" s="1"/>
  <c r="B668" i="18" a="1"/>
  <c r="B668" i="18" s="1"/>
  <c r="D668" i="18" s="1"/>
  <c r="B91" i="18" a="1"/>
  <c r="B91" i="18" s="1"/>
  <c r="D91" i="18" s="1"/>
  <c r="B250" i="18" a="1"/>
  <c r="B250" i="18" s="1"/>
  <c r="D250" i="18" s="1"/>
  <c r="B601" i="18" a="1"/>
  <c r="B601" i="18" s="1"/>
  <c r="D601" i="18" s="1"/>
  <c r="B103" i="18" a="1"/>
  <c r="B103" i="18" s="1"/>
  <c r="D103" i="18" s="1"/>
  <c r="B114" i="18" a="1"/>
  <c r="B114" i="18" s="1"/>
  <c r="D114" i="18" s="1"/>
  <c r="B203" i="18" a="1"/>
  <c r="B203" i="18" s="1"/>
  <c r="D203" i="18" s="1"/>
  <c r="B253" i="18" a="1"/>
  <c r="B253" i="18" s="1"/>
  <c r="D253" i="18" s="1"/>
  <c r="B179" i="18" a="1"/>
  <c r="B179" i="18" s="1"/>
  <c r="D179" i="18" s="1"/>
  <c r="B233" i="18" a="1"/>
  <c r="B233" i="18" s="1"/>
  <c r="D233" i="18" s="1"/>
  <c r="B205" i="18" a="1"/>
  <c r="B205" i="18" s="1"/>
  <c r="D205" i="18" s="1"/>
  <c r="B85" i="18" a="1"/>
  <c r="B85" i="18" s="1"/>
  <c r="D85" i="18" s="1"/>
  <c r="B454" i="18" a="1"/>
  <c r="B454" i="18" s="1"/>
  <c r="D454" i="18" s="1"/>
  <c r="B639" i="18" a="1"/>
  <c r="B639" i="18" s="1"/>
  <c r="D639" i="18" s="1"/>
  <c r="B754" i="18" a="1"/>
  <c r="B754" i="18" s="1"/>
  <c r="D754" i="18" s="1"/>
  <c r="B437" i="18" a="1"/>
  <c r="B437" i="18" s="1"/>
  <c r="D437" i="18" s="1"/>
  <c r="B527" i="18" a="1"/>
  <c r="B527" i="18" s="1"/>
  <c r="D527" i="18" s="1"/>
  <c r="B356" i="18" a="1"/>
  <c r="B356" i="18" s="1"/>
  <c r="D356" i="18" s="1"/>
  <c r="B121" i="18" a="1"/>
  <c r="B121" i="18" s="1"/>
  <c r="D121" i="18" s="1"/>
  <c r="B57" i="18" a="1"/>
  <c r="B57" i="18" s="1"/>
  <c r="D57" i="18" s="1"/>
  <c r="B728" i="18" a="1"/>
  <c r="B728" i="18" s="1"/>
  <c r="D728" i="18" s="1"/>
  <c r="B749" i="18" a="1"/>
  <c r="B749" i="18" s="1"/>
  <c r="D749" i="18" s="1"/>
  <c r="B292" i="18" a="1"/>
  <c r="B292" i="18" s="1"/>
  <c r="D292" i="18" s="1"/>
  <c r="B3" i="18" a="1"/>
  <c r="B3" i="18" s="1"/>
  <c r="D3" i="18" s="1"/>
  <c r="B92" i="18" a="1"/>
  <c r="B92" i="18" s="1"/>
  <c r="D92" i="18" s="1"/>
  <c r="B643" i="18" a="1"/>
  <c r="B643" i="18" s="1"/>
  <c r="D643" i="18" s="1"/>
  <c r="B434" i="18" a="1"/>
  <c r="B434" i="18" s="1"/>
  <c r="D434" i="18" s="1"/>
  <c r="B14" i="18" a="1"/>
  <c r="B14" i="18" s="1"/>
  <c r="D14" i="18" s="1"/>
  <c r="B465" i="18" a="1"/>
  <c r="B465" i="18" s="1"/>
  <c r="D465" i="18" s="1"/>
  <c r="B723" i="18" a="1"/>
  <c r="B723" i="18" s="1"/>
  <c r="D723" i="18" s="1"/>
  <c r="B175" i="18" a="1"/>
  <c r="B175" i="18" s="1"/>
  <c r="D175" i="18" s="1"/>
  <c r="B763" i="18" a="1"/>
  <c r="B763" i="18" s="1"/>
  <c r="D763" i="18" s="1"/>
  <c r="B424" i="18" a="1"/>
  <c r="B424" i="18" s="1"/>
  <c r="D424" i="18" s="1"/>
  <c r="B426" i="18" a="1"/>
  <c r="B426" i="18" s="1"/>
  <c r="D426" i="18" s="1"/>
  <c r="B661" i="18" a="1"/>
  <c r="B661" i="18" s="1"/>
  <c r="D661" i="18" s="1"/>
  <c r="B111" i="18" a="1"/>
  <c r="B111" i="18" s="1"/>
  <c r="D111" i="18" s="1"/>
  <c r="B332" i="18" a="1"/>
  <c r="B332" i="18" s="1"/>
  <c r="D332" i="18" s="1"/>
  <c r="B169" i="18" a="1"/>
  <c r="B169" i="18" s="1"/>
  <c r="D169" i="18" s="1"/>
  <c r="B248" i="18" a="1"/>
  <c r="B248" i="18" s="1"/>
  <c r="D248" i="18" s="1"/>
  <c r="B697" i="18" a="1"/>
  <c r="B697" i="18" s="1"/>
  <c r="D697" i="18" s="1"/>
  <c r="B146" i="18" a="1"/>
  <c r="B146" i="18" s="1"/>
  <c r="D146" i="18" s="1"/>
  <c r="B343" i="18" a="1"/>
  <c r="B343" i="18" s="1"/>
  <c r="D343" i="18" s="1"/>
  <c r="B537" i="18" a="1"/>
  <c r="B537" i="18" s="1"/>
  <c r="D537" i="18" s="1"/>
  <c r="B127" i="18" a="1"/>
  <c r="B127" i="18" s="1"/>
  <c r="D127" i="18" s="1"/>
  <c r="B107" i="18" a="1"/>
  <c r="B107" i="18" s="1"/>
  <c r="D107" i="18" s="1"/>
  <c r="B546" i="18" a="1"/>
  <c r="B546" i="18" s="1"/>
  <c r="D546" i="18" s="1"/>
  <c r="B464" i="18" a="1"/>
  <c r="B464" i="18" s="1"/>
  <c r="D464" i="18" s="1"/>
  <c r="B197" i="18" a="1"/>
  <c r="B197" i="18" s="1"/>
  <c r="D197" i="18" s="1"/>
  <c r="B632" i="18" a="1"/>
  <c r="B632" i="18" s="1"/>
  <c r="D632" i="18" s="1"/>
  <c r="B130" i="18" a="1"/>
  <c r="B130" i="18" s="1"/>
  <c r="D130" i="18" s="1"/>
  <c r="B759" i="18" a="1"/>
  <c r="B759" i="18" s="1"/>
  <c r="D759" i="18" s="1"/>
  <c r="B269" i="18" a="1"/>
  <c r="B269" i="18" s="1"/>
  <c r="D269" i="18" s="1"/>
  <c r="B485" i="18" a="1"/>
  <c r="B485" i="18" s="1"/>
  <c r="D485" i="18" s="1"/>
  <c r="B768" i="18" a="1"/>
  <c r="B768" i="18" s="1"/>
  <c r="D768" i="18" s="1"/>
  <c r="B152" i="18" a="1"/>
  <c r="B152" i="18" s="1"/>
  <c r="D152" i="18" s="1"/>
  <c r="B83" i="18" a="1"/>
  <c r="B83" i="18" s="1"/>
  <c r="D83" i="18" s="1"/>
  <c r="B748" i="18" a="1"/>
  <c r="B748" i="18" s="1"/>
  <c r="D748" i="18" s="1"/>
  <c r="B17" i="18" a="1"/>
  <c r="B17" i="18" s="1"/>
  <c r="D17" i="18" s="1"/>
  <c r="B351" i="18" a="1"/>
  <c r="B351" i="18" s="1"/>
  <c r="D351" i="18" s="1"/>
  <c r="B747" i="18" a="1"/>
  <c r="B747" i="18" s="1"/>
  <c r="D747" i="18" s="1"/>
  <c r="B699" i="18" a="1"/>
  <c r="B699" i="18" s="1"/>
  <c r="D699" i="18" s="1"/>
  <c r="B18" i="18" a="1"/>
  <c r="B18" i="18" s="1"/>
  <c r="D18" i="18" s="1"/>
  <c r="B448" i="18" a="1"/>
  <c r="B448" i="18" s="1"/>
  <c r="D448" i="18" s="1"/>
  <c r="B194" i="18" a="1"/>
  <c r="B194" i="18" s="1"/>
  <c r="D194" i="18" s="1"/>
  <c r="B606" i="18" a="1"/>
  <c r="B606" i="18" s="1"/>
  <c r="D606" i="18" s="1"/>
  <c r="B627" i="18" a="1"/>
  <c r="B627" i="18" s="1"/>
  <c r="D627" i="18" s="1"/>
  <c r="B472" i="18" a="1"/>
  <c r="B472" i="18" s="1"/>
  <c r="D472" i="18" s="1"/>
  <c r="B476" i="18" a="1"/>
  <c r="B476" i="18" s="1"/>
  <c r="D476" i="18" s="1"/>
  <c r="B409" i="18" a="1"/>
  <c r="B409" i="18" s="1"/>
  <c r="D409" i="18" s="1"/>
  <c r="B139" i="18" a="1"/>
  <c r="B139" i="18" s="1"/>
  <c r="D139" i="18" s="1"/>
  <c r="B412" i="18" a="1"/>
  <c r="B412" i="18" s="1"/>
  <c r="D412" i="18" s="1"/>
  <c r="B558" i="18" a="1"/>
  <c r="B558" i="18" s="1"/>
  <c r="D558" i="18" s="1"/>
  <c r="C3" i="17" a="1"/>
  <c r="C3" i="17" s="1"/>
  <c r="E3" i="17" s="1"/>
  <c r="B49" i="18" a="1"/>
  <c r="B49" i="18" s="1"/>
  <c r="D49" i="18" s="1"/>
  <c r="B262" i="18" a="1"/>
  <c r="B262" i="18" s="1"/>
  <c r="D262" i="18" s="1"/>
  <c r="B289" i="18" a="1"/>
  <c r="B289" i="18" s="1"/>
  <c r="D289" i="18" s="1"/>
  <c r="B87" i="18" a="1"/>
  <c r="B87" i="18" s="1"/>
  <c r="D87" i="18" s="1"/>
  <c r="B461" i="18" a="1"/>
  <c r="B461" i="18" s="1"/>
  <c r="D461" i="18" s="1"/>
  <c r="B322" i="18" a="1"/>
  <c r="B322" i="18" s="1"/>
  <c r="D322" i="18" s="1"/>
  <c r="B198" i="18" a="1"/>
  <c r="B198" i="18" s="1"/>
  <c r="D198" i="18" s="1"/>
  <c r="B554" i="18" a="1"/>
  <c r="B554" i="18" s="1"/>
  <c r="D554" i="18" s="1"/>
  <c r="B333" i="18" a="1"/>
  <c r="B333" i="18" s="1"/>
  <c r="D333" i="18" s="1"/>
  <c r="B224" i="18" a="1"/>
  <c r="B224" i="18" s="1"/>
  <c r="D224" i="18" s="1"/>
  <c r="B430" i="18" a="1"/>
  <c r="B430" i="18" s="1"/>
  <c r="D430" i="18" s="1"/>
  <c r="B72" i="18" a="1"/>
  <c r="B72" i="18" s="1"/>
  <c r="D72" i="18" s="1"/>
  <c r="B330" i="18" a="1"/>
  <c r="B330" i="18" s="1"/>
  <c r="D330" i="18" s="1"/>
  <c r="B693" i="18" a="1"/>
  <c r="B693" i="18" s="1"/>
  <c r="D693" i="18" s="1"/>
  <c r="B730" i="18" a="1"/>
  <c r="B730" i="18" s="1"/>
  <c r="D730" i="18" s="1"/>
  <c r="B347" i="18" a="1"/>
  <c r="B347" i="18" s="1"/>
  <c r="D347" i="18" s="1"/>
  <c r="B201" i="18" a="1"/>
  <c r="B201" i="18" s="1"/>
  <c r="D201" i="18" s="1"/>
  <c r="B543" i="18" a="1"/>
  <c r="B543" i="18" s="1"/>
  <c r="D543" i="18" s="1"/>
  <c r="B571" i="18" a="1"/>
  <c r="B571" i="18" s="1"/>
  <c r="D571" i="18" s="1"/>
  <c r="B630" i="18" a="1"/>
  <c r="B630" i="18" s="1"/>
  <c r="D630" i="18" s="1"/>
  <c r="B189" i="18" a="1"/>
  <c r="B189" i="18" s="1"/>
  <c r="D189" i="18" s="1"/>
  <c r="B707" i="18" a="1"/>
  <c r="B707" i="18" s="1"/>
  <c r="D707" i="18" s="1"/>
  <c r="B608" i="18" a="1"/>
  <c r="B608" i="18" s="1"/>
  <c r="D608" i="18" s="1"/>
  <c r="B456" i="18" a="1"/>
  <c r="B456" i="18" s="1"/>
  <c r="D456" i="18" s="1"/>
  <c r="B284" i="18" a="1"/>
  <c r="B284" i="18" s="1"/>
  <c r="D284" i="18" s="1"/>
  <c r="B576" i="18" a="1"/>
  <c r="B576" i="18" s="1"/>
  <c r="D576" i="18" s="1"/>
  <c r="B369" i="18" a="1"/>
  <c r="B369" i="18" s="1"/>
  <c r="D369" i="18" s="1"/>
  <c r="B593" i="18" a="1"/>
  <c r="B593" i="18" s="1"/>
  <c r="D593" i="18" s="1"/>
  <c r="B376" i="18" a="1"/>
  <c r="B376" i="18" s="1"/>
  <c r="D376" i="18" s="1"/>
  <c r="B590" i="18" a="1"/>
  <c r="B590" i="18" s="1"/>
  <c r="D590" i="18" s="1"/>
  <c r="B158" i="18" a="1"/>
  <c r="B158" i="18" s="1"/>
  <c r="D158" i="18" s="1"/>
  <c r="B463" i="18" a="1"/>
  <c r="B463" i="18" s="1"/>
  <c r="D463" i="18" s="1"/>
  <c r="B501" i="18" a="1"/>
  <c r="B501" i="18" s="1"/>
  <c r="D501" i="18" s="1"/>
  <c r="B307" i="18" a="1"/>
  <c r="B307" i="18" s="1"/>
  <c r="D307" i="18" s="1"/>
  <c r="B503" i="18" a="1"/>
  <c r="B503" i="18" s="1"/>
  <c r="D503" i="18" s="1"/>
  <c r="B647" i="18" a="1"/>
  <c r="B647" i="18" s="1"/>
  <c r="D647" i="18" s="1"/>
  <c r="B569" i="18" a="1"/>
  <c r="B569" i="18" s="1"/>
  <c r="D569" i="18" s="1"/>
  <c r="B63" i="18" a="1"/>
  <c r="B63" i="18" s="1"/>
  <c r="D63" i="18" s="1"/>
  <c r="B190" i="18" a="1"/>
  <c r="B190" i="18" s="1"/>
  <c r="D190" i="18" s="1"/>
  <c r="B421" i="18" a="1"/>
  <c r="B421" i="18" s="1"/>
  <c r="D421" i="18" s="1"/>
  <c r="B466" i="18" a="1"/>
  <c r="B466" i="18" s="1"/>
  <c r="D466" i="18" s="1"/>
  <c r="B33" i="18" a="1"/>
  <c r="B33" i="18" s="1"/>
  <c r="D33" i="18" s="1"/>
  <c r="B490" i="18" a="1"/>
  <c r="B490" i="18" s="1"/>
  <c r="D490" i="18" s="1"/>
  <c r="B373" i="18" a="1"/>
  <c r="B373" i="18" s="1"/>
  <c r="D373" i="18" s="1"/>
  <c r="B339" i="18" a="1"/>
  <c r="B339" i="18" s="1"/>
  <c r="D339" i="18" s="1"/>
  <c r="B711" i="18" a="1"/>
  <c r="B711" i="18" s="1"/>
  <c r="D711" i="18" s="1"/>
  <c r="B361" i="18" a="1"/>
  <c r="B361" i="18" s="1"/>
  <c r="D361" i="18" s="1"/>
  <c r="B400" i="18" a="1"/>
  <c r="B400" i="18" s="1"/>
  <c r="D400" i="18" s="1"/>
  <c r="B553" i="18" a="1"/>
  <c r="B553" i="18" s="1"/>
  <c r="D553" i="18" s="1"/>
  <c r="B442" i="18" a="1"/>
  <c r="B442" i="18" s="1"/>
  <c r="D442" i="18" s="1"/>
  <c r="B398" i="18" a="1"/>
  <c r="B398" i="18" s="1"/>
  <c r="D398" i="18" s="1"/>
  <c r="B672" i="18" a="1"/>
  <c r="B672" i="18" s="1"/>
  <c r="D672" i="18" s="1"/>
  <c r="B226" i="18" a="1"/>
  <c r="B226" i="18" s="1"/>
  <c r="D226" i="18" s="1"/>
  <c r="B7" i="18" a="1"/>
  <c r="B7" i="18" s="1"/>
  <c r="D7" i="18" s="1"/>
  <c r="B751" i="18" a="1"/>
  <c r="B751" i="18" s="1"/>
  <c r="D751" i="18" s="1"/>
  <c r="B377" i="18" a="1"/>
  <c r="B377" i="18" s="1"/>
  <c r="D377" i="18" s="1"/>
  <c r="B166" i="18" a="1"/>
  <c r="B166" i="18" s="1"/>
  <c r="D166" i="18" s="1"/>
  <c r="B187" i="18" a="1"/>
  <c r="B187" i="18" s="1"/>
  <c r="D187" i="18" s="1"/>
  <c r="B317" i="18" a="1"/>
  <c r="B317" i="18" s="1"/>
  <c r="D317" i="18" s="1"/>
  <c r="B335" i="18" a="1"/>
  <c r="B335" i="18" s="1"/>
  <c r="D335" i="18" s="1"/>
  <c r="B318" i="18" a="1"/>
  <c r="B318" i="18" s="1"/>
  <c r="D318" i="18" s="1"/>
  <c r="B431" i="18" a="1"/>
  <c r="B431" i="18" s="1"/>
  <c r="D431" i="18" s="1"/>
  <c r="B123" i="18" a="1"/>
  <c r="B123" i="18" s="1"/>
  <c r="D123" i="18" s="1"/>
  <c r="B688" i="18" a="1"/>
  <c r="B688" i="18" s="1"/>
  <c r="D688" i="18" s="1"/>
  <c r="B607" i="18" a="1"/>
  <c r="B607" i="18" s="1"/>
  <c r="D607" i="18" s="1"/>
  <c r="B238" i="18" a="1"/>
  <c r="B238" i="18" s="1"/>
  <c r="D238" i="18" s="1"/>
  <c r="B138" i="18" a="1"/>
  <c r="B138" i="18" s="1"/>
  <c r="D138" i="18" s="1"/>
  <c r="B140" i="18" a="1"/>
  <c r="B140" i="18" s="1"/>
  <c r="D140" i="18" s="1"/>
  <c r="B276" i="18" a="1"/>
  <c r="B276" i="18" s="1"/>
  <c r="D276" i="18" s="1"/>
  <c r="B220" i="18" a="1"/>
  <c r="B220" i="18" s="1"/>
  <c r="D220" i="18" s="1"/>
  <c r="B764" i="18" a="1"/>
  <c r="B764" i="18" s="1"/>
  <c r="D764" i="18" s="1"/>
  <c r="B165" i="18" a="1"/>
  <c r="B165" i="18" s="1"/>
  <c r="D165" i="18" s="1"/>
  <c r="B496" i="18" a="1"/>
  <c r="B496" i="18" s="1"/>
  <c r="D496" i="18" s="1"/>
  <c r="B652" i="18" a="1"/>
  <c r="B652" i="18" s="1"/>
  <c r="D652" i="18" s="1"/>
  <c r="B406" i="18" a="1"/>
  <c r="B406" i="18" s="1"/>
  <c r="D406" i="18" s="1"/>
  <c r="B100" i="18" a="1"/>
  <c r="B100" i="18" s="1"/>
  <c r="D100" i="18" s="1"/>
  <c r="B75" i="18" a="1"/>
  <c r="B75" i="18" s="1"/>
  <c r="D75" i="18" s="1"/>
  <c r="B353" i="18" a="1"/>
  <c r="B353" i="18" s="1"/>
  <c r="D353" i="18" s="1"/>
  <c r="B686" i="18" a="1"/>
  <c r="B686" i="18" s="1"/>
  <c r="D686" i="18" s="1"/>
  <c r="B342" i="18" a="1"/>
  <c r="B342" i="18" s="1"/>
  <c r="D342" i="18" s="1"/>
  <c r="B35" i="18" a="1"/>
  <c r="B35" i="18" s="1"/>
  <c r="D35" i="18" s="1"/>
  <c r="B727" i="18" a="1"/>
  <c r="B727" i="18" s="1"/>
  <c r="D727" i="18" s="1"/>
  <c r="B101" i="18" a="1"/>
  <c r="B101" i="18" s="1"/>
  <c r="D101" i="18" s="1"/>
  <c r="B388" i="18" a="1"/>
  <c r="B388" i="18" s="1"/>
  <c r="D388" i="18" s="1"/>
  <c r="B655" i="18" a="1"/>
  <c r="B655" i="18" s="1"/>
  <c r="D655" i="18" s="1"/>
  <c r="B112" i="18" a="1"/>
  <c r="B112" i="18" s="1"/>
  <c r="D112" i="18" s="1"/>
  <c r="B769" i="18" a="1"/>
  <c r="B769" i="18" s="1"/>
  <c r="D769" i="18" s="1"/>
  <c r="B212" i="18" a="1"/>
  <c r="B212" i="18" s="1"/>
  <c r="D212" i="18" s="1"/>
  <c r="B416" i="18" a="1"/>
  <c r="B416" i="18" s="1"/>
  <c r="D416" i="18" s="1"/>
  <c r="B234" i="18" a="1"/>
  <c r="B234" i="18" s="1"/>
  <c r="D234" i="18" s="1"/>
  <c r="B671" i="18" a="1"/>
  <c r="B671" i="18" s="1"/>
  <c r="D671" i="18" s="1"/>
  <c r="B620" i="18" a="1"/>
  <c r="B620" i="18" s="1"/>
  <c r="D620" i="18" s="1"/>
  <c r="B148" i="18" a="1"/>
  <c r="B148" i="18" s="1"/>
  <c r="D148" i="18" s="1"/>
  <c r="B646" i="18" a="1"/>
  <c r="B646" i="18" s="1"/>
  <c r="D646" i="18" s="1"/>
  <c r="B525" i="18" a="1"/>
  <c r="B525" i="18" s="1"/>
  <c r="D525" i="18" s="1"/>
  <c r="B588" i="18" a="1"/>
  <c r="B588" i="18" s="1"/>
  <c r="D588" i="18" s="1"/>
  <c r="B548" i="18" a="1"/>
  <c r="B548" i="18" s="1"/>
  <c r="D548" i="18" s="1"/>
  <c r="B359" i="18" a="1"/>
  <c r="B359" i="18" s="1"/>
  <c r="D359" i="18" s="1"/>
  <c r="B423" i="18" a="1"/>
  <c r="B423" i="18" s="1"/>
  <c r="D423" i="18" s="1"/>
  <c r="B285" i="18" a="1"/>
  <c r="B285" i="18" s="1"/>
  <c r="D285" i="18" s="1"/>
  <c r="B54" i="18" a="1"/>
  <c r="B54" i="18" s="1"/>
  <c r="D54" i="18" s="1"/>
  <c r="B567" i="18" a="1"/>
  <c r="B567" i="18" s="1"/>
  <c r="D567" i="18" s="1"/>
  <c r="B216" i="18" a="1"/>
  <c r="B216" i="18" s="1"/>
  <c r="D216" i="18" s="1"/>
  <c r="B410" i="18" a="1"/>
  <c r="B410" i="18" s="1"/>
  <c r="D410" i="18" s="1"/>
  <c r="B312" i="18" a="1"/>
  <c r="B312" i="18" s="1"/>
  <c r="D312" i="18" s="1"/>
  <c r="B508" i="18" a="1"/>
  <c r="B508" i="18" s="1"/>
  <c r="D508" i="18" s="1"/>
  <c r="B633" i="18" a="1"/>
  <c r="B633" i="18" s="1"/>
  <c r="D633" i="18" s="1"/>
  <c r="B12" i="18" a="1"/>
  <c r="B12" i="18" s="1"/>
  <c r="D12" i="18" s="1"/>
  <c r="B471" i="18" a="1"/>
  <c r="B471" i="18" s="1"/>
  <c r="D471" i="18" s="1"/>
  <c r="B521" i="18" a="1"/>
  <c r="B521" i="18" s="1"/>
  <c r="D521" i="18" s="1"/>
  <c r="B721" i="18" a="1"/>
  <c r="B721" i="18" s="1"/>
  <c r="D721" i="18" s="1"/>
  <c r="B600" i="18" a="1"/>
  <c r="B600" i="18" s="1"/>
  <c r="D600" i="18" s="1"/>
  <c r="B320" i="18" a="1"/>
  <c r="B320" i="18" s="1"/>
  <c r="D320" i="18" s="1"/>
  <c r="B93" i="18" a="1"/>
  <c r="B93" i="18" s="1"/>
  <c r="D93" i="18" s="1"/>
  <c r="B484" i="18" a="1"/>
  <c r="B484" i="18" s="1"/>
  <c r="D484" i="18" s="1"/>
  <c r="B460" i="18" a="1"/>
  <c r="B460" i="18" s="1"/>
  <c r="D460" i="18" s="1"/>
  <c r="B192" i="18" a="1"/>
  <c r="B192" i="18" s="1"/>
  <c r="D192" i="18" s="1"/>
  <c r="B623" i="18" a="1"/>
  <c r="B623" i="18" s="1"/>
  <c r="D623" i="18" s="1"/>
  <c r="B26" i="18" a="1"/>
  <c r="B26" i="18" s="1"/>
  <c r="D26" i="18" s="1"/>
  <c r="B419" i="18" a="1"/>
  <c r="B419" i="18" s="1"/>
  <c r="D419" i="18" s="1"/>
  <c r="B341" i="18" a="1"/>
  <c r="B341" i="18" s="1"/>
  <c r="D341" i="18" s="1"/>
  <c r="B219" i="18" a="1"/>
  <c r="B219" i="18" s="1"/>
  <c r="D219" i="18" s="1"/>
  <c r="B583" i="18" a="1"/>
  <c r="B583" i="18" s="1"/>
  <c r="D583" i="18" s="1"/>
  <c r="B329" i="18" a="1"/>
  <c r="B329" i="18" s="1"/>
  <c r="D329" i="18" s="1"/>
  <c r="B182" i="18" a="1"/>
  <c r="B182" i="18" s="1"/>
  <c r="D182" i="18" s="1"/>
  <c r="B161" i="18" a="1"/>
  <c r="B161" i="18" s="1"/>
  <c r="D161" i="18" s="1"/>
  <c r="B374" i="18" a="1"/>
  <c r="B374" i="18" s="1"/>
  <c r="D374" i="18" s="1"/>
  <c r="B660" i="18" a="1"/>
  <c r="B660" i="18" s="1"/>
  <c r="D660" i="18" s="1"/>
  <c r="B180" i="18" a="1"/>
  <c r="B180" i="18" s="1"/>
  <c r="D180" i="18" s="1"/>
  <c r="B40" i="18" a="1"/>
  <c r="B40" i="18" s="1"/>
  <c r="D40" i="18" s="1"/>
  <c r="B147" i="18" a="1"/>
  <c r="B147" i="18" s="1"/>
  <c r="D147" i="18" s="1"/>
  <c r="B596" i="18" a="1"/>
  <c r="B596" i="18" s="1"/>
  <c r="D596" i="18" s="1"/>
  <c r="B640" i="18" a="1"/>
  <c r="B640" i="18" s="1"/>
  <c r="D640" i="18" s="1"/>
  <c r="B725" i="18" a="1"/>
  <c r="B725" i="18" s="1"/>
  <c r="D725" i="18" s="1"/>
  <c r="B297" i="18" a="1"/>
  <c r="B297" i="18" s="1"/>
  <c r="D297" i="18" s="1"/>
  <c r="B422" i="18" a="1"/>
  <c r="B422" i="18" s="1"/>
  <c r="D422" i="18" s="1"/>
  <c r="B603" i="18" a="1"/>
  <c r="B603" i="18" s="1"/>
  <c r="D603" i="18" s="1"/>
  <c r="B411" i="18" a="1"/>
  <c r="B411" i="18" s="1"/>
  <c r="D411" i="18" s="1"/>
  <c r="B529" i="18" a="1"/>
  <c r="B529" i="18" s="1"/>
  <c r="D529" i="18" s="1"/>
  <c r="B598" i="18" a="1"/>
  <c r="B598" i="18" s="1"/>
  <c r="D598" i="18" s="1"/>
  <c r="B595" i="18" a="1"/>
  <c r="B595" i="18" s="1"/>
  <c r="D595" i="18" s="1"/>
  <c r="B98" i="18" a="1"/>
  <c r="B98" i="18" s="1"/>
  <c r="D98" i="18" s="1"/>
  <c r="B126" i="18" a="1"/>
  <c r="B126" i="18" s="1"/>
  <c r="D126" i="18" s="1"/>
  <c r="B666" i="18" a="1"/>
  <c r="B666" i="18" s="1"/>
  <c r="D666" i="18" s="1"/>
  <c r="B288" i="18" a="1"/>
  <c r="B288" i="18" s="1"/>
  <c r="D288" i="18" s="1"/>
  <c r="B724" i="18" a="1"/>
  <c r="B724" i="18" s="1"/>
  <c r="D724" i="18" s="1"/>
  <c r="B555" i="18" a="1"/>
  <c r="B555" i="18" s="1"/>
  <c r="D555" i="18" s="1"/>
  <c r="B68" i="18" a="1"/>
  <c r="B68" i="18" s="1"/>
  <c r="D68" i="18" s="1"/>
  <c r="B502" i="18" a="1"/>
  <c r="B502" i="18" s="1"/>
  <c r="D502" i="18" s="1"/>
  <c r="B545" i="18" a="1"/>
  <c r="B545" i="18" s="1"/>
  <c r="D545" i="18" s="1"/>
  <c r="B145" i="18" a="1"/>
  <c r="B145" i="18" s="1"/>
  <c r="D145" i="18" s="1"/>
  <c r="B237" i="18" a="1"/>
  <c r="B237" i="18" s="1"/>
  <c r="D237" i="18" s="1"/>
  <c r="B257" i="18" a="1"/>
  <c r="B257" i="18" s="1"/>
  <c r="D257" i="18" s="1"/>
  <c r="B15" i="18" a="1"/>
  <c r="B15" i="18" s="1"/>
  <c r="D15" i="18" s="1"/>
  <c r="B155" i="18" a="1"/>
  <c r="B155" i="18" s="1"/>
  <c r="D155" i="18" s="1"/>
  <c r="B274" i="18" a="1"/>
  <c r="B274" i="18" s="1"/>
  <c r="D274" i="18" s="1"/>
  <c r="B325" i="18" a="1"/>
  <c r="B325" i="18" s="1"/>
  <c r="D325" i="18" s="1"/>
  <c r="B756" i="18" a="1"/>
  <c r="B756" i="18" s="1"/>
  <c r="D756" i="18" s="1"/>
  <c r="B223" i="18" a="1"/>
  <c r="B223" i="18" s="1"/>
  <c r="D223" i="18" s="1"/>
  <c r="B444" i="18" a="1"/>
  <c r="B444" i="18" s="1"/>
  <c r="D444" i="18" s="1"/>
  <c r="B210" i="18" a="1"/>
  <c r="B210" i="18" s="1"/>
  <c r="D210" i="18" s="1"/>
  <c r="B357" i="18" a="1"/>
  <c r="B357" i="18" s="1"/>
  <c r="D357" i="18" s="1"/>
  <c r="B420" i="18" a="1"/>
  <c r="B420" i="18" s="1"/>
  <c r="D420" i="18" s="1"/>
  <c r="B390" i="18" a="1"/>
  <c r="B390" i="18" s="1"/>
  <c r="D390" i="18" s="1"/>
  <c r="B128" i="18" a="1"/>
  <c r="B128" i="18" s="1"/>
  <c r="D128" i="18" s="1"/>
  <c r="B676" i="18" a="1"/>
  <c r="B676" i="18" s="1"/>
  <c r="D676" i="18" s="1"/>
  <c r="B488" i="18" a="1"/>
  <c r="B488" i="18" s="1"/>
  <c r="D488" i="18" s="1"/>
  <c r="B518" i="18" a="1"/>
  <c r="B518" i="18" s="1"/>
  <c r="D518" i="18" s="1"/>
  <c r="B673" i="18" a="1"/>
  <c r="B673" i="18" s="1"/>
  <c r="D673" i="18" s="1"/>
  <c r="B753" i="18" a="1"/>
  <c r="B753" i="18" s="1"/>
  <c r="D753" i="18" s="1"/>
  <c r="B227" i="18" a="1"/>
  <c r="B227" i="18" s="1"/>
  <c r="D227" i="18" s="1"/>
  <c r="B240" i="18" a="1"/>
  <c r="B240" i="18" s="1"/>
  <c r="D240" i="18" s="1"/>
  <c r="B665" i="18" a="1"/>
  <c r="B665" i="18" s="1"/>
  <c r="D665" i="18" s="1"/>
  <c r="B474" i="18" a="1"/>
  <c r="B474" i="18" s="1"/>
  <c r="D474" i="18" s="1"/>
  <c r="B767" i="18" a="1"/>
  <c r="B767" i="18" s="1"/>
  <c r="D767" i="18" s="1"/>
  <c r="B24" i="18" a="1"/>
  <c r="B24" i="18" s="1"/>
  <c r="D24" i="18" s="1"/>
  <c r="B135" i="18" a="1"/>
  <c r="B135" i="18" s="1"/>
  <c r="D135" i="18" s="1"/>
  <c r="B592" i="18" a="1"/>
  <c r="B592" i="18" s="1"/>
  <c r="D592" i="18" s="1"/>
  <c r="B186" i="18" a="1"/>
  <c r="B186" i="18" s="1"/>
  <c r="D186" i="18" s="1"/>
  <c r="B37" i="18" a="1"/>
  <c r="B37" i="18" s="1"/>
  <c r="D37" i="18" s="1"/>
  <c r="B477" i="18" a="1"/>
  <c r="B477" i="18" s="1"/>
  <c r="D477" i="18" s="1"/>
  <c r="B714" i="18" a="1"/>
  <c r="B714" i="18" s="1"/>
  <c r="D714" i="18" s="1"/>
  <c r="B82" i="18" a="1"/>
  <c r="B82" i="18" s="1"/>
  <c r="D82" i="18" s="1"/>
  <c r="B110" i="18" a="1"/>
  <c r="B110" i="18" s="1"/>
  <c r="D110" i="18" s="1"/>
  <c r="B482" i="18" a="1"/>
  <c r="B482" i="18" s="1"/>
  <c r="D482" i="18" s="1"/>
  <c r="B516" i="18" a="1"/>
  <c r="B516" i="18" s="1"/>
  <c r="D516" i="18" s="1"/>
  <c r="B270" i="18" a="1"/>
  <c r="B270" i="18" s="1"/>
  <c r="D270" i="18" s="1"/>
  <c r="B544" i="18" a="1"/>
  <c r="B544" i="18" s="1"/>
  <c r="D544" i="18" s="1"/>
  <c r="B256" i="18" a="1"/>
  <c r="B256" i="18" s="1"/>
  <c r="D256" i="18" s="1"/>
  <c r="B468" i="18" a="1"/>
  <c r="B468" i="18" s="1"/>
  <c r="D468" i="18" s="1"/>
  <c r="B452" i="18" a="1"/>
  <c r="B452" i="18" s="1"/>
  <c r="D452" i="18" s="1"/>
  <c r="B624" i="18" a="1"/>
  <c r="B624" i="18" s="1"/>
  <c r="D624" i="18" s="1"/>
  <c r="B752" i="18" a="1"/>
  <c r="B752" i="18" s="1"/>
  <c r="D752" i="18" s="1"/>
  <c r="B538" i="18" a="1"/>
  <c r="B538" i="18" s="1"/>
  <c r="D538" i="18" s="1"/>
  <c r="B746" i="18" a="1"/>
  <c r="B746" i="18" s="1"/>
  <c r="D746" i="18" s="1"/>
  <c r="B701" i="18" a="1"/>
  <c r="B701" i="18" s="1"/>
  <c r="D701" i="18" s="1"/>
  <c r="B446" i="18" a="1"/>
  <c r="B446" i="18" s="1"/>
  <c r="D446" i="18" s="1"/>
  <c r="B27" i="18" a="1"/>
  <c r="B27" i="18" s="1"/>
  <c r="D27" i="18" s="1"/>
  <c r="B491" i="18" a="1"/>
  <c r="B491" i="18" s="1"/>
  <c r="D491" i="18" s="1"/>
  <c r="B154" i="18" a="1"/>
  <c r="B154" i="18" s="1"/>
  <c r="D154" i="18" s="1"/>
  <c r="B712" i="18" a="1"/>
  <c r="B712" i="18" s="1"/>
  <c r="D712" i="18" s="1"/>
  <c r="B231" i="18" a="1"/>
  <c r="B231" i="18" s="1"/>
  <c r="D231" i="18" s="1"/>
  <c r="B310" i="18" a="1"/>
  <c r="B310" i="18" s="1"/>
  <c r="D310" i="18" s="1"/>
  <c r="B427" i="18" a="1"/>
  <c r="B427" i="18" s="1"/>
  <c r="D427" i="18" s="1"/>
  <c r="B760" i="18" a="1"/>
  <c r="B760" i="18" s="1"/>
  <c r="D760" i="18" s="1"/>
  <c r="B286" i="18" a="1"/>
  <c r="B286" i="18" s="1"/>
  <c r="D286" i="18" s="1"/>
  <c r="B435" i="18" a="1"/>
  <c r="B435" i="18" s="1"/>
  <c r="D435" i="18" s="1"/>
  <c r="B512" i="18" a="1"/>
  <c r="B512" i="18" s="1"/>
  <c r="D512" i="18" s="1"/>
  <c r="B709" i="18" a="1"/>
  <c r="B709" i="18" s="1"/>
  <c r="D709" i="18" s="1"/>
  <c r="B475" i="18" a="1"/>
  <c r="B475" i="18" s="1"/>
  <c r="D475" i="18" s="1"/>
  <c r="B105" i="18" a="1"/>
  <c r="B105" i="18" s="1"/>
  <c r="D105" i="18" s="1"/>
  <c r="B708" i="18" a="1"/>
  <c r="B708" i="18" s="1"/>
  <c r="D708" i="18" s="1"/>
  <c r="B634" i="18" a="1"/>
  <c r="B634" i="18" s="1"/>
  <c r="D634" i="18" s="1"/>
  <c r="B736" i="18" a="1"/>
  <c r="B736" i="18" s="1"/>
  <c r="D736" i="18" s="1"/>
  <c r="B245" i="18" a="1"/>
  <c r="B245" i="18" s="1"/>
  <c r="D245" i="18" s="1"/>
  <c r="B157" i="18" a="1"/>
  <c r="B157" i="18" s="1"/>
  <c r="D157" i="18" s="1"/>
  <c r="B663" i="18" a="1"/>
  <c r="B663" i="18" s="1"/>
  <c r="D663" i="18" s="1"/>
  <c r="B570" i="18" a="1"/>
  <c r="B570" i="18" s="1"/>
  <c r="D570" i="18" s="1"/>
  <c r="B120" i="18" a="1"/>
  <c r="B120" i="18" s="1"/>
  <c r="D120" i="18" s="1"/>
  <c r="B326" i="18" a="1"/>
  <c r="B326" i="18" s="1"/>
  <c r="D326" i="18" s="1"/>
  <c r="B360" i="18" a="1"/>
  <c r="B360" i="18" s="1"/>
  <c r="D360" i="18" s="1"/>
  <c r="B168" i="18" a="1"/>
  <c r="B168" i="18" s="1"/>
  <c r="D168" i="18" s="1"/>
  <c r="B557" i="18" a="1"/>
  <c r="B557" i="18" s="1"/>
  <c r="D557" i="18" s="1"/>
  <c r="B88" i="18" a="1"/>
  <c r="B88" i="18" s="1"/>
  <c r="D88" i="18" s="1"/>
  <c r="B300" i="18" a="1"/>
  <c r="B300" i="18" s="1"/>
  <c r="D300" i="18" s="1"/>
  <c r="B315" i="18" a="1"/>
  <c r="B315" i="18" s="1"/>
  <c r="D315" i="18" s="1"/>
  <c r="B164" i="18" a="1"/>
  <c r="B164" i="18" s="1"/>
  <c r="D164" i="18" s="1"/>
  <c r="B614" i="18" a="1"/>
  <c r="B614" i="18" s="1"/>
  <c r="D614" i="18" s="1"/>
  <c r="B451" i="18" a="1"/>
  <c r="B451" i="18" s="1"/>
  <c r="D451" i="18" s="1"/>
  <c r="B617" i="18" a="1"/>
  <c r="B617" i="18" s="1"/>
  <c r="D617" i="18" s="1"/>
  <c r="B418" i="18" a="1"/>
  <c r="B418" i="18" s="1"/>
  <c r="D418" i="18" s="1"/>
  <c r="B99" i="18" a="1"/>
  <c r="B99" i="18" s="1"/>
  <c r="D99" i="18" s="1"/>
  <c r="B279" i="18" a="1"/>
  <c r="B279" i="18" s="1"/>
  <c r="D279" i="18" s="1"/>
  <c r="B578" i="18" a="1"/>
  <c r="B578" i="18" s="1"/>
  <c r="D578" i="18" s="1"/>
  <c r="B265" i="18" a="1"/>
  <c r="B265" i="18" s="1"/>
  <c r="D265" i="18" s="1"/>
  <c r="B177" i="18" a="1"/>
  <c r="B177" i="18" s="1"/>
  <c r="D177" i="18" s="1"/>
  <c r="B327" i="18" a="1"/>
  <c r="B327" i="18" s="1"/>
  <c r="D327" i="18" s="1"/>
  <c r="B523" i="18" a="1"/>
  <c r="B523" i="18" s="1"/>
  <c r="D523" i="18" s="1"/>
  <c r="B455" i="18" a="1"/>
  <c r="B455" i="18" s="1"/>
  <c r="D455" i="18" s="1"/>
  <c r="B689" i="18" a="1"/>
  <c r="B689" i="18" s="1"/>
  <c r="D689" i="18" s="1"/>
  <c r="B185" i="18" a="1"/>
  <c r="B185" i="18" s="1"/>
  <c r="D185" i="18" s="1"/>
  <c r="B404" i="18" a="1"/>
  <c r="B404" i="18" s="1"/>
  <c r="D404" i="18" s="1"/>
  <c r="B364" i="18" a="1"/>
  <c r="B364" i="18" s="1"/>
  <c r="D364" i="18" s="1"/>
  <c r="C15" i="17" a="1"/>
  <c r="C15" i="17" s="1"/>
  <c r="E15" i="17" s="1"/>
  <c r="C39" i="17" a="1"/>
  <c r="C39" i="17" s="1"/>
  <c r="E39" i="17" s="1"/>
  <c r="C6" i="17" a="1"/>
  <c r="C6" i="17" s="1"/>
  <c r="E6" i="17" s="1"/>
  <c r="C33" i="17" a="1"/>
  <c r="C33" i="17" s="1"/>
  <c r="E33" i="17" s="1"/>
  <c r="C4" i="17" a="1"/>
  <c r="C4" i="17" s="1"/>
  <c r="E4" i="17" s="1"/>
  <c r="C46" i="17" a="1"/>
  <c r="C46" i="17" s="1"/>
  <c r="E46" i="17" s="1"/>
  <c r="C27" i="17" a="1"/>
  <c r="C27" i="17" s="1"/>
  <c r="E27" i="17" s="1"/>
  <c r="C23" i="17" a="1"/>
  <c r="C23" i="17" s="1"/>
  <c r="E23" i="17" s="1"/>
  <c r="C29" i="17" a="1"/>
  <c r="C29" i="17" s="1"/>
  <c r="E29" i="17" s="1"/>
  <c r="C41" i="17" a="1"/>
  <c r="C41" i="17" s="1"/>
  <c r="E41" i="17" s="1"/>
  <c r="C19" i="17" a="1"/>
  <c r="C19" i="17" s="1"/>
  <c r="E19" i="17" s="1"/>
  <c r="C32" i="17" a="1"/>
  <c r="C32" i="17" s="1"/>
  <c r="E32" i="17" s="1"/>
  <c r="C40" i="17" a="1"/>
  <c r="C40" i="17" s="1"/>
  <c r="E40" i="17" s="1"/>
  <c r="C20" i="17" a="1"/>
  <c r="C20" i="17" s="1"/>
  <c r="E20" i="17" s="1"/>
  <c r="C26" i="17" a="1"/>
  <c r="C26" i="17" s="1"/>
  <c r="E26" i="17" s="1"/>
  <c r="C9" i="17" a="1"/>
  <c r="C9" i="17" s="1"/>
  <c r="E9" i="17" s="1"/>
  <c r="C34" i="17" a="1"/>
  <c r="C34" i="17" s="1"/>
  <c r="E34" i="17" s="1"/>
  <c r="C8" i="17" a="1"/>
  <c r="C8" i="17" s="1"/>
  <c r="E8" i="17" s="1"/>
  <c r="C22" i="17" a="1"/>
  <c r="C22" i="17" s="1"/>
  <c r="E22" i="17" s="1"/>
  <c r="C21" i="17" a="1"/>
  <c r="C21" i="17" s="1"/>
  <c r="E21" i="17" s="1"/>
  <c r="C24" i="17" a="1"/>
  <c r="C24" i="17" s="1"/>
  <c r="E24" i="17" s="1"/>
  <c r="C42" i="17" a="1"/>
  <c r="C42" i="17" s="1"/>
  <c r="E42" i="17" s="1"/>
  <c r="C16" i="17" a="1"/>
  <c r="C16" i="17" s="1"/>
  <c r="E16" i="17" s="1"/>
  <c r="C11" i="17" a="1"/>
  <c r="C11" i="17" s="1"/>
  <c r="E11" i="17" s="1"/>
  <c r="C25" i="17" a="1"/>
  <c r="C25" i="17" s="1"/>
  <c r="E25" i="17" s="1"/>
  <c r="C45" i="17" a="1"/>
  <c r="C45" i="17" s="1"/>
  <c r="E45" i="17" s="1"/>
  <c r="C44" i="17" a="1"/>
  <c r="C44" i="17" s="1"/>
  <c r="E44" i="17" s="1"/>
  <c r="C30" i="17" a="1"/>
  <c r="C30" i="17" s="1"/>
  <c r="E30" i="17" s="1"/>
  <c r="C37" i="17" a="1"/>
  <c r="C37" i="17" s="1"/>
  <c r="E37" i="17" s="1"/>
  <c r="C43" i="17" a="1"/>
  <c r="C43" i="17" s="1"/>
  <c r="E43" i="17" s="1"/>
  <c r="C36" i="17" a="1"/>
  <c r="C36" i="17" s="1"/>
  <c r="E36" i="17" s="1"/>
  <c r="C12" i="17" a="1"/>
  <c r="C12" i="17" s="1"/>
  <c r="E12" i="17" s="1"/>
  <c r="C35" i="17" a="1"/>
  <c r="C35" i="17" s="1"/>
  <c r="E35" i="17" s="1"/>
  <c r="C7" i="17" a="1"/>
  <c r="C7" i="17" s="1"/>
  <c r="E7" i="17" s="1"/>
  <c r="C14" i="17" a="1"/>
  <c r="C14" i="17" s="1"/>
  <c r="E14" i="17" s="1"/>
  <c r="C13" i="17" a="1"/>
  <c r="C13" i="17" s="1"/>
  <c r="E13" i="17" s="1"/>
  <c r="C38" i="17" a="1"/>
  <c r="C38" i="17" s="1"/>
  <c r="E38" i="17" s="1"/>
  <c r="C17" i="17" a="1"/>
  <c r="C17" i="17" s="1"/>
  <c r="E17" i="17" s="1"/>
  <c r="C47" i="17" a="1"/>
  <c r="C47" i="17" s="1"/>
  <c r="E47" i="17" s="1"/>
  <c r="C10" i="17" a="1"/>
  <c r="C10" i="17" s="1"/>
  <c r="E10" i="17" s="1"/>
  <c r="C5" i="17" a="1"/>
  <c r="C5" i="17" s="1"/>
  <c r="E5" i="17" s="1"/>
  <c r="C28" i="17" a="1"/>
  <c r="C28" i="17" s="1"/>
  <c r="E28" i="17" s="1"/>
  <c r="C18" i="17" a="1"/>
  <c r="C18" i="17" s="1"/>
  <c r="E18" i="17" s="1"/>
  <c r="C31" i="17" a="1"/>
  <c r="C31" i="17" s="1"/>
  <c r="E31" i="17" s="1"/>
  <c r="AN205" i="1" l="1"/>
  <c r="AN206" i="1" s="1"/>
  <c r="X206" i="1"/>
  <c r="Y217" i="1" s="1"/>
  <c r="F24" i="25" s="1"/>
  <c r="E24" i="25"/>
  <c r="E21" i="26"/>
  <c r="L21" i="26"/>
  <c r="L24" i="25"/>
  <c r="D24" i="25"/>
  <c r="D21" i="26"/>
  <c r="M24" i="25"/>
  <c r="M21" i="26"/>
  <c r="K21" i="26"/>
  <c r="H21" i="26"/>
  <c r="H24" i="25"/>
  <c r="C21" i="26"/>
  <c r="C24" i="25"/>
  <c r="E49" i="17"/>
  <c r="H3" i="17" s="1"/>
  <c r="I24" i="25"/>
  <c r="I21" i="26"/>
  <c r="J21" i="26"/>
  <c r="D771" i="18"/>
  <c r="H3" i="18" s="1"/>
  <c r="P211" i="1" s="1"/>
  <c r="G21" i="26"/>
  <c r="G24" i="25"/>
  <c r="B21" i="26"/>
  <c r="B24" i="25"/>
  <c r="P216" i="1" l="1"/>
  <c r="AN211" i="1"/>
  <c r="AN216" i="1" s="1"/>
  <c r="B42" i="29" s="1"/>
  <c r="E42" i="29" s="1"/>
  <c r="E47" i="29" s="1"/>
  <c r="F21" i="26"/>
  <c r="O27" i="25"/>
  <c r="O24" i="26"/>
  <c r="B8" i="29"/>
  <c r="AO217" i="1"/>
  <c r="B39" i="29" l="1"/>
  <c r="C14" i="29"/>
  <c r="E14" i="29" s="1"/>
  <c r="E39" i="29" s="1"/>
  <c r="K17" i="26"/>
  <c r="I21" i="25"/>
  <c r="E55" i="29" l="1"/>
  <c r="E21" i="25"/>
  <c r="H17" i="26"/>
  <c r="E65" i="29" l="1"/>
  <c r="E59" i="29"/>
  <c r="D53" i="29" l="1"/>
  <c r="E69" i="29"/>
  <c r="B59" i="29"/>
  <c r="D47" i="29"/>
  <c r="D39" i="29"/>
  <c r="E70" i="29"/>
  <c r="B65" i="29"/>
  <c r="H14" i="26" l="1"/>
  <c r="D17" i="26" s="1"/>
  <c r="C15" i="25"/>
  <c r="C16" i="25" l="1"/>
  <c r="C17" i="25" s="1"/>
  <c r="C18" i="25" s="1"/>
  <c r="C19" i="25" s="1"/>
  <c r="E13"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Adams</author>
  </authors>
  <commentList>
    <comment ref="K1" authorId="0" shapeId="0" xr:uid="{5C047075-BD48-4B12-B285-E6289A9FC2DE}">
      <text>
        <r>
          <rPr>
            <b/>
            <sz val="9"/>
            <color indexed="81"/>
            <rFont val="Tahoma"/>
            <family val="2"/>
          </rPr>
          <t>Scott Adams:</t>
        </r>
        <r>
          <rPr>
            <sz val="9"/>
            <color indexed="81"/>
            <rFont val="Tahoma"/>
            <family val="2"/>
          </rPr>
          <t xml:space="preserve">
C</t>
        </r>
        <r>
          <rPr>
            <sz val="11"/>
            <color indexed="81"/>
            <rFont val="Calibri"/>
            <family val="2"/>
            <scheme val="minor"/>
          </rPr>
          <t>alculated field.  Totals hours from coil cleaning column, by equipment, adds, and positions in April</t>
        </r>
      </text>
    </comment>
    <comment ref="J5" authorId="0" shapeId="0" xr:uid="{FD407FAF-7B2D-4861-ACE1-E8658A13F7DA}">
      <text>
        <r>
          <rPr>
            <b/>
            <sz val="11"/>
            <color indexed="81"/>
            <rFont val="Calibri"/>
            <family val="2"/>
            <scheme val="minor"/>
          </rPr>
          <t>Scott Adams:</t>
        </r>
        <r>
          <rPr>
            <sz val="11"/>
            <color indexed="81"/>
            <rFont val="Calibri"/>
            <family val="2"/>
            <scheme val="minor"/>
          </rPr>
          <t xml:space="preserve">
Add coil cleaning hours per equipment.  If none leave blank.</t>
        </r>
      </text>
    </comment>
    <comment ref="N5" authorId="0" shapeId="0" xr:uid="{A09619E7-BCFF-4F27-9549-F8536A4F39B8}">
      <text>
        <r>
          <rPr>
            <b/>
            <sz val="9"/>
            <color indexed="81"/>
            <rFont val="Tahoma"/>
            <family val="2"/>
          </rPr>
          <t>Scott Adams:</t>
        </r>
        <r>
          <rPr>
            <sz val="9"/>
            <color indexed="81"/>
            <rFont val="Tahoma"/>
            <family val="2"/>
          </rPr>
          <t xml:space="preserve">
</t>
        </r>
        <r>
          <rPr>
            <sz val="11"/>
            <color indexed="81"/>
            <rFont val="Calibri"/>
            <family val="2"/>
            <scheme val="minor"/>
          </rPr>
          <t xml:space="preserve">Fill as either Y or leave blank.  If Y the hours calculated for task execution will be profiled in the ESTIMATE PRICING sheet as an option.  This is to be used in a competitive situation, where we need to profile our labor for the best financial outcome.  
</t>
        </r>
        <r>
          <rPr>
            <b/>
            <sz val="11"/>
            <color indexed="81"/>
            <rFont val="Calibri"/>
            <family val="2"/>
            <scheme val="minor"/>
          </rPr>
          <t>Consult Management before presentation to customer.</t>
        </r>
      </text>
    </comment>
    <comment ref="K6" authorId="0" shapeId="0" xr:uid="{E88DBBE1-FC64-4E05-A0E7-593D534DE62A}">
      <text>
        <r>
          <rPr>
            <b/>
            <sz val="9"/>
            <color indexed="81"/>
            <rFont val="Tahoma"/>
            <family val="2"/>
          </rPr>
          <t>Scott Adams:</t>
        </r>
        <r>
          <rPr>
            <sz val="9"/>
            <color indexed="81"/>
            <rFont val="Tahoma"/>
            <family val="2"/>
          </rPr>
          <t xml:space="preserve">
sfslfjslfjsjfsjfjskjfs
fsjkfhskfjskljfsjklfs
fskldjflsdjflksjlfjsk</t>
        </r>
      </text>
    </comment>
    <comment ref="V103" authorId="0" shapeId="0" xr:uid="{73B09652-755D-4530-8BD6-4F0288D86BE5}">
      <text>
        <r>
          <rPr>
            <b/>
            <sz val="9"/>
            <color indexed="81"/>
            <rFont val="Tahoma"/>
            <family val="2"/>
          </rPr>
          <t>Scott Adams:</t>
        </r>
        <r>
          <rPr>
            <sz val="9"/>
            <color indexed="81"/>
            <rFont val="Tahoma"/>
            <family val="2"/>
          </rPr>
          <t xml:space="preserve">
C</t>
        </r>
        <r>
          <rPr>
            <sz val="11"/>
            <color indexed="81"/>
            <rFont val="Calibri"/>
            <family val="2"/>
            <scheme val="minor"/>
          </rPr>
          <t>alculated field.  Totals hours from coil cleaning column, by equipment, adds, and positions in April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<sst xmlns="http://schemas.openxmlformats.org/spreadsheetml/2006/main" count="2788" uniqueCount="1843">
  <si>
    <t>MFG</t>
  </si>
  <si>
    <t>Total</t>
  </si>
  <si>
    <t>Coil Cleaning</t>
  </si>
  <si>
    <t>Belts</t>
  </si>
  <si>
    <t>Filters</t>
  </si>
  <si>
    <t>Misc. Material</t>
  </si>
  <si>
    <t>Hours</t>
  </si>
  <si>
    <t>Cooling Towers</t>
  </si>
  <si>
    <t>Tonnage</t>
  </si>
  <si>
    <t>P.M. Hours</t>
  </si>
  <si>
    <t>R &amp; R Hours</t>
  </si>
  <si>
    <t>Emgcy Hours</t>
  </si>
  <si>
    <t>Mat. $</t>
  </si>
  <si>
    <t>0 to 50</t>
  </si>
  <si>
    <t>51 to 100</t>
  </si>
  <si>
    <t>101 to 200</t>
  </si>
  <si>
    <t>201 to 300</t>
  </si>
  <si>
    <t>301 &amp; up</t>
  </si>
  <si>
    <t>Air Handling Units</t>
  </si>
  <si>
    <t>H.P</t>
  </si>
  <si>
    <t>up to 10</t>
  </si>
  <si>
    <t>10 to 30</t>
  </si>
  <si>
    <t>30 to 50</t>
  </si>
  <si>
    <t>50 to 100</t>
  </si>
  <si>
    <t>100 to 200</t>
  </si>
  <si>
    <t>Air Cooled Condenser</t>
  </si>
  <si>
    <t>up to 20</t>
  </si>
  <si>
    <t>21 to 30</t>
  </si>
  <si>
    <t>31 to 50</t>
  </si>
  <si>
    <t>301 to 500</t>
  </si>
  <si>
    <t>Boiler</t>
  </si>
  <si>
    <t>Conversion Table</t>
  </si>
  <si>
    <t>BTU</t>
  </si>
  <si>
    <t>HP</t>
  </si>
  <si>
    <t>Gas Fired and Electric Boilers</t>
  </si>
  <si>
    <t>31 to 40</t>
  </si>
  <si>
    <t>41 to 50</t>
  </si>
  <si>
    <t>51 to 60</t>
  </si>
  <si>
    <t>61 to 70</t>
  </si>
  <si>
    <t>71 to 80</t>
  </si>
  <si>
    <t>81 to 90</t>
  </si>
  <si>
    <t>91 to 100</t>
  </si>
  <si>
    <t>101 to 125</t>
  </si>
  <si>
    <t>126 to 150</t>
  </si>
  <si>
    <t>151 to 200</t>
  </si>
  <si>
    <t>301 to 400</t>
  </si>
  <si>
    <t>401 to 500</t>
  </si>
  <si>
    <t>Oil Fired Boilers</t>
  </si>
  <si>
    <t>Pumps</t>
  </si>
  <si>
    <t>fractional</t>
  </si>
  <si>
    <t>Axial Fans</t>
  </si>
  <si>
    <t>Air Compressors</t>
  </si>
  <si>
    <t>up to 1</t>
  </si>
  <si>
    <t>Duplex Comp. X 1.3</t>
  </si>
  <si>
    <t>Electric Controls</t>
  </si>
  <si>
    <t>Type</t>
  </si>
  <si>
    <t>Thermostats</t>
  </si>
  <si>
    <t>Damper Motors</t>
  </si>
  <si>
    <t>Electric Heat Contr.</t>
  </si>
  <si>
    <t>Valves</t>
  </si>
  <si>
    <t xml:space="preserve">All else </t>
  </si>
  <si>
    <t>Special</t>
  </si>
  <si>
    <t>Pricing</t>
  </si>
  <si>
    <t xml:space="preserve">Multiplicity factor for controls(PM labor only)  </t>
  </si>
  <si>
    <t>1 to 10 units</t>
  </si>
  <si>
    <t>10 and over</t>
  </si>
  <si>
    <t>Tons</t>
  </si>
  <si>
    <t>Water Source Heat Pumps</t>
  </si>
  <si>
    <t>Make-Up Air Units</t>
  </si>
  <si>
    <t>BTU's (1000's)</t>
  </si>
  <si>
    <t>250-400</t>
  </si>
  <si>
    <t>400-600</t>
  </si>
  <si>
    <t>600-800</t>
  </si>
  <si>
    <t>800-1000</t>
  </si>
  <si>
    <t>1000-1500</t>
  </si>
  <si>
    <t>1500-2000</t>
  </si>
  <si>
    <t>2000-2500</t>
  </si>
  <si>
    <t>2500-3000</t>
  </si>
  <si>
    <t>3000-3500</t>
  </si>
  <si>
    <t>3500-4000</t>
  </si>
  <si>
    <t>400-5000</t>
  </si>
  <si>
    <t>Residential Gas Fired Furnace</t>
  </si>
  <si>
    <t>100-150</t>
  </si>
  <si>
    <t>150-200</t>
  </si>
  <si>
    <t>Residential A/C Units  up to 4 tons</t>
  </si>
  <si>
    <t>.</t>
  </si>
  <si>
    <t>Miscellaneous Equipment</t>
  </si>
  <si>
    <t>Equipment</t>
  </si>
  <si>
    <t>converters ( Steam to HW)</t>
  </si>
  <si>
    <t>Domestic Water Heaters</t>
  </si>
  <si>
    <t>Electric Fan Controls</t>
  </si>
  <si>
    <t>Gas Fired Fan Units</t>
  </si>
  <si>
    <t>Humidifier- Steam</t>
  </si>
  <si>
    <t>Humidifier - Electric</t>
  </si>
  <si>
    <t>Humidfier - Self Contained</t>
  </si>
  <si>
    <t>Hydronic Fan Coils</t>
  </si>
  <si>
    <t>Mixing Boxes/VAV</t>
  </si>
  <si>
    <t>Reheat Coils- Electric</t>
  </si>
  <si>
    <t>Thru the Wall Units</t>
  </si>
  <si>
    <t>Unit Vents</t>
  </si>
  <si>
    <t>Window Units</t>
  </si>
  <si>
    <t>Reheat Coils- Steam</t>
  </si>
  <si>
    <t>Travel Charge</t>
  </si>
  <si>
    <t>Total Hours</t>
  </si>
  <si>
    <t>Centrifugal Compressors</t>
  </si>
  <si>
    <t>January</t>
  </si>
  <si>
    <t>Febuary</t>
  </si>
  <si>
    <t>March</t>
  </si>
  <si>
    <t>April</t>
  </si>
  <si>
    <t>May</t>
  </si>
  <si>
    <t>June</t>
  </si>
  <si>
    <t>July</t>
  </si>
  <si>
    <t>August</t>
  </si>
  <si>
    <t>September</t>
  </si>
  <si>
    <t>October</t>
  </si>
  <si>
    <t>November</t>
  </si>
  <si>
    <t>December</t>
  </si>
  <si>
    <t>SN</t>
  </si>
  <si>
    <t>Asset Type &amp; Description (COINS)</t>
  </si>
  <si>
    <t>COIL C</t>
  </si>
  <si>
    <t>BOIL01  Boiler - Gas Fired</t>
  </si>
  <si>
    <t>CHLS04  Chiller - Recip And Scroll- Air Cooled</t>
  </si>
  <si>
    <t>COND02  Condensing Unit no Compressors (Air Cooled Condensers, Dry-Clrs)</t>
  </si>
  <si>
    <t>CTWR00  Cooling Tower</t>
  </si>
  <si>
    <t>FAN01  Fan - Exhaust Fan</t>
  </si>
  <si>
    <t>FAN04  Fan - Supply</t>
  </si>
  <si>
    <t>HEATREC00  Heat / Energy Recovery Unit</t>
  </si>
  <si>
    <t>MUA00  Make up Air Unit</t>
  </si>
  <si>
    <t>PKG00  Package Unit</t>
  </si>
  <si>
    <t>PKG01  Package Unit - Dx- Air Cooled- Cooling Only</t>
  </si>
  <si>
    <t>PKG03  Package Unit - Dx- Air Cooled with Gas Heat</t>
  </si>
  <si>
    <t>PUMP00  Pump</t>
  </si>
  <si>
    <t>SS00  Split System</t>
  </si>
  <si>
    <t>SS03  Split System - Heat Pump with electric heat</t>
  </si>
  <si>
    <t>VFD00  VFD - Variable Freq/ Speed Drives</t>
  </si>
  <si>
    <t>Additional Charges</t>
  </si>
  <si>
    <t>Additional  Totals</t>
  </si>
  <si>
    <t>INSPECTION TOTALS</t>
  </si>
  <si>
    <t>MODEL</t>
  </si>
  <si>
    <t>SIZE</t>
  </si>
  <si>
    <t>Contract Number</t>
  </si>
  <si>
    <t>Customer Name</t>
  </si>
  <si>
    <t>Customer Location</t>
  </si>
  <si>
    <t>Repair</t>
  </si>
  <si>
    <t>Belt Size</t>
  </si>
  <si>
    <t>Filter Size</t>
  </si>
  <si>
    <t>LOCATION</t>
  </si>
  <si>
    <t>CUST ID</t>
  </si>
  <si>
    <t xml:space="preserve">QTY </t>
  </si>
  <si>
    <t>Quantity</t>
  </si>
  <si>
    <t>3L150</t>
  </si>
  <si>
    <t>3L160</t>
  </si>
  <si>
    <t>3L170</t>
  </si>
  <si>
    <t>3L180</t>
  </si>
  <si>
    <t>3L190</t>
  </si>
  <si>
    <t>3L200</t>
  </si>
  <si>
    <t>3L210</t>
  </si>
  <si>
    <t>3L220</t>
  </si>
  <si>
    <t>3L230</t>
  </si>
  <si>
    <t>3L240</t>
  </si>
  <si>
    <t>3L250</t>
  </si>
  <si>
    <t>3L260</t>
  </si>
  <si>
    <t>3L270</t>
  </si>
  <si>
    <t>3L290</t>
  </si>
  <si>
    <t>3L300</t>
  </si>
  <si>
    <t>3L310</t>
  </si>
  <si>
    <t>3L320</t>
  </si>
  <si>
    <t>3L330</t>
  </si>
  <si>
    <t>3L340</t>
  </si>
  <si>
    <t>3L350</t>
  </si>
  <si>
    <t>3L360</t>
  </si>
  <si>
    <t>3L370</t>
  </si>
  <si>
    <t>3L380</t>
  </si>
  <si>
    <t>3L390</t>
  </si>
  <si>
    <t>3L400</t>
  </si>
  <si>
    <t>3L410</t>
  </si>
  <si>
    <t>3L420</t>
  </si>
  <si>
    <t>3L430</t>
  </si>
  <si>
    <t>3L440</t>
  </si>
  <si>
    <t>3L450</t>
  </si>
  <si>
    <t>3L460</t>
  </si>
  <si>
    <t>3L470</t>
  </si>
  <si>
    <t>3L480</t>
  </si>
  <si>
    <t>3L490</t>
  </si>
  <si>
    <t>3L500</t>
  </si>
  <si>
    <t>3L530</t>
  </si>
  <si>
    <t>3VX1000</t>
  </si>
  <si>
    <t>3VX1060</t>
  </si>
  <si>
    <t>3VX1120</t>
  </si>
  <si>
    <t>3VX1180</t>
  </si>
  <si>
    <t>3VX1250</t>
  </si>
  <si>
    <t>3VX1320</t>
  </si>
  <si>
    <t>3VX1400</t>
  </si>
  <si>
    <t>3VX250</t>
  </si>
  <si>
    <t>3VX265</t>
  </si>
  <si>
    <t>3VX280</t>
  </si>
  <si>
    <t>3VX300</t>
  </si>
  <si>
    <t>3VX315</t>
  </si>
  <si>
    <t>3VX335</t>
  </si>
  <si>
    <t>3VX355</t>
  </si>
  <si>
    <t>3VX375</t>
  </si>
  <si>
    <t>3VX400</t>
  </si>
  <si>
    <t>3VX425</t>
  </si>
  <si>
    <t>3VX450</t>
  </si>
  <si>
    <t>3VX475</t>
  </si>
  <si>
    <t>3VX500</t>
  </si>
  <si>
    <t>3VX530</t>
  </si>
  <si>
    <t>3VX560</t>
  </si>
  <si>
    <t>3VX600</t>
  </si>
  <si>
    <t>3VX630</t>
  </si>
  <si>
    <t>3VX670</t>
  </si>
  <si>
    <t>3VX710</t>
  </si>
  <si>
    <t>3VX750</t>
  </si>
  <si>
    <t>3VX800</t>
  </si>
  <si>
    <t>3VX850</t>
  </si>
  <si>
    <t>3VX900</t>
  </si>
  <si>
    <t>3VX950</t>
  </si>
  <si>
    <t>4L170</t>
  </si>
  <si>
    <t>4L180</t>
  </si>
  <si>
    <t>4L190</t>
  </si>
  <si>
    <t>4L200</t>
  </si>
  <si>
    <t>4L210</t>
  </si>
  <si>
    <t>4L220</t>
  </si>
  <si>
    <t>4L230</t>
  </si>
  <si>
    <t>4L240</t>
  </si>
  <si>
    <t>4L250</t>
  </si>
  <si>
    <t>4L340</t>
  </si>
  <si>
    <t>4L350</t>
  </si>
  <si>
    <t>4L360</t>
  </si>
  <si>
    <t>4L370</t>
  </si>
  <si>
    <t>4L380</t>
  </si>
  <si>
    <t>4L390</t>
  </si>
  <si>
    <t>4L400</t>
  </si>
  <si>
    <t>4L410</t>
  </si>
  <si>
    <t>4L420</t>
  </si>
  <si>
    <t>4L430</t>
  </si>
  <si>
    <t>4L440</t>
  </si>
  <si>
    <t>4L450</t>
  </si>
  <si>
    <t>4L460</t>
  </si>
  <si>
    <t>4L470</t>
  </si>
  <si>
    <t>4L480</t>
  </si>
  <si>
    <t>4L490</t>
  </si>
  <si>
    <t>4L500</t>
  </si>
  <si>
    <t>4L510</t>
  </si>
  <si>
    <t>4L520</t>
  </si>
  <si>
    <t>4L530</t>
  </si>
  <si>
    <t>4L540</t>
  </si>
  <si>
    <t>4L550</t>
  </si>
  <si>
    <t>4L560</t>
  </si>
  <si>
    <t>4L570</t>
  </si>
  <si>
    <t>4L580</t>
  </si>
  <si>
    <t>4L590</t>
  </si>
  <si>
    <t>4L600</t>
  </si>
  <si>
    <t>5L230</t>
  </si>
  <si>
    <t>5L240</t>
  </si>
  <si>
    <t>5L250</t>
  </si>
  <si>
    <t>5L260</t>
  </si>
  <si>
    <t>5L270</t>
  </si>
  <si>
    <t>5L280</t>
  </si>
  <si>
    <t>5L290</t>
  </si>
  <si>
    <t>5L300</t>
  </si>
  <si>
    <t>5L310</t>
  </si>
  <si>
    <t>5L320</t>
  </si>
  <si>
    <t>5L330</t>
  </si>
  <si>
    <t>5L340</t>
  </si>
  <si>
    <t>5L350</t>
  </si>
  <si>
    <t>5L360</t>
  </si>
  <si>
    <t>5L370</t>
  </si>
  <si>
    <t>5L380</t>
  </si>
  <si>
    <t>5L390</t>
  </si>
  <si>
    <t>5L400</t>
  </si>
  <si>
    <t>5L410</t>
  </si>
  <si>
    <t>5L420</t>
  </si>
  <si>
    <t>5L430</t>
  </si>
  <si>
    <t>5L440</t>
  </si>
  <si>
    <t>5L450</t>
  </si>
  <si>
    <t>5L460</t>
  </si>
  <si>
    <t>5L470</t>
  </si>
  <si>
    <t>5L480</t>
  </si>
  <si>
    <t>5L490</t>
  </si>
  <si>
    <t>5L500</t>
  </si>
  <si>
    <t>5L510</t>
  </si>
  <si>
    <t>5L520</t>
  </si>
  <si>
    <t>5L530</t>
  </si>
  <si>
    <t>5L540</t>
  </si>
  <si>
    <t>5L550</t>
  </si>
  <si>
    <t>5L560</t>
  </si>
  <si>
    <t>5L570</t>
  </si>
  <si>
    <t>5L580</t>
  </si>
  <si>
    <t>5L590</t>
  </si>
  <si>
    <t>5L600</t>
  </si>
  <si>
    <t>5V2120</t>
  </si>
  <si>
    <t>5V2240</t>
  </si>
  <si>
    <t>5V2360</t>
  </si>
  <si>
    <t>5V2500</t>
  </si>
  <si>
    <t>5V2650</t>
  </si>
  <si>
    <t>5V2800</t>
  </si>
  <si>
    <t>5V3000</t>
  </si>
  <si>
    <t>5V3150</t>
  </si>
  <si>
    <t>5V3350</t>
  </si>
  <si>
    <t>5V3550</t>
  </si>
  <si>
    <t>5VX1000</t>
  </si>
  <si>
    <t>5VX1030</t>
  </si>
  <si>
    <t>5VX1060</t>
  </si>
  <si>
    <t>5VX1080</t>
  </si>
  <si>
    <t>5VX1120</t>
  </si>
  <si>
    <t>5VX1150</t>
  </si>
  <si>
    <t>5VX1180</t>
  </si>
  <si>
    <t>5VX1230</t>
  </si>
  <si>
    <t>5VX1250</t>
  </si>
  <si>
    <t>5VX1320</t>
  </si>
  <si>
    <t>5VX1400</t>
  </si>
  <si>
    <t>5VX1500</t>
  </si>
  <si>
    <t>5VX1600</t>
  </si>
  <si>
    <t>5VX1700</t>
  </si>
  <si>
    <t>5VX1800</t>
  </si>
  <si>
    <t>5VX1900</t>
  </si>
  <si>
    <t>5VX2000</t>
  </si>
  <si>
    <t>5VX450</t>
  </si>
  <si>
    <t>5VX470</t>
  </si>
  <si>
    <t>5VX490</t>
  </si>
  <si>
    <t>5VX500</t>
  </si>
  <si>
    <t>5VX510</t>
  </si>
  <si>
    <t>5VX530</t>
  </si>
  <si>
    <t>5VX540</t>
  </si>
  <si>
    <t>5VX550</t>
  </si>
  <si>
    <t>5VX560</t>
  </si>
  <si>
    <t>5VX570</t>
  </si>
  <si>
    <t>5VX580</t>
  </si>
  <si>
    <t>5VX590</t>
  </si>
  <si>
    <t>5VX600</t>
  </si>
  <si>
    <t>5VX610</t>
  </si>
  <si>
    <t>5VX630</t>
  </si>
  <si>
    <t>5VX650</t>
  </si>
  <si>
    <t>5VX660</t>
  </si>
  <si>
    <t>5VX670</t>
  </si>
  <si>
    <t>5VX690</t>
  </si>
  <si>
    <t>5VX710</t>
  </si>
  <si>
    <t>5VX730</t>
  </si>
  <si>
    <t>5VX750</t>
  </si>
  <si>
    <t>5VX780</t>
  </si>
  <si>
    <t>5VX800</t>
  </si>
  <si>
    <t>5VX810</t>
  </si>
  <si>
    <t>5VX830</t>
  </si>
  <si>
    <t>5VX840</t>
  </si>
  <si>
    <t>5VX850</t>
  </si>
  <si>
    <t>5VX860</t>
  </si>
  <si>
    <t>5VX880</t>
  </si>
  <si>
    <t>5VX900</t>
  </si>
  <si>
    <t>5VX930</t>
  </si>
  <si>
    <t>5VX950</t>
  </si>
  <si>
    <t>5VX960</t>
  </si>
  <si>
    <t>A100</t>
  </si>
  <si>
    <t>A103</t>
  </si>
  <si>
    <t>A105</t>
  </si>
  <si>
    <t>A110</t>
  </si>
  <si>
    <t>A112</t>
  </si>
  <si>
    <t>A120</t>
  </si>
  <si>
    <t>A128</t>
  </si>
  <si>
    <t>A136</t>
  </si>
  <si>
    <t>A144</t>
  </si>
  <si>
    <t>A158</t>
  </si>
  <si>
    <t>A173</t>
  </si>
  <si>
    <t>A180</t>
  </si>
  <si>
    <t>A20</t>
  </si>
  <si>
    <t>A21</t>
  </si>
  <si>
    <t>A22</t>
  </si>
  <si>
    <t>A23</t>
  </si>
  <si>
    <t>A24</t>
  </si>
  <si>
    <t>A25</t>
  </si>
  <si>
    <t>A26</t>
  </si>
  <si>
    <t>A27</t>
  </si>
  <si>
    <t>A28</t>
  </si>
  <si>
    <t>A29</t>
  </si>
  <si>
    <t>A30</t>
  </si>
  <si>
    <t>A31</t>
  </si>
  <si>
    <t>A32</t>
  </si>
  <si>
    <t>A33</t>
  </si>
  <si>
    <t>A34</t>
  </si>
  <si>
    <t>A35</t>
  </si>
  <si>
    <t>A36</t>
  </si>
  <si>
    <t>A37</t>
  </si>
  <si>
    <t>A38</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</si>
  <si>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</si>
  <si>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</si>
  <si>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</si>
  <si>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</si>
  <si>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</si>
  <si>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</si>
  <si>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</si>
  <si>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</si>
  <si>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</si>
  <si>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</si>
  <si>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</si>
  <si>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</si>
  <si>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</si>
  <si>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</si>
  <si>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</si>
  <si>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</si>
  <si>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</si>
  <si>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</si>
  <si>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</si>
  <si>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</si>
  <si>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</si>
  <si>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</si>
  <si>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</si>
  <si>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</si>
  <si>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</si>
  <si>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</si>
  <si>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</si>
  <si>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</si>
  <si>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</si>
  <si>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</si>
  <si>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</si>
  <si>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</si>
  <si>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</si>
  <si>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</si>
  <si>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</si>
  <si>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</si>
  <si>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</si>
  <si>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</si>
  <si>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</si>
  <si>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</si>
  <si>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</si>
  <si>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</si>
  <si>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</si>
  <si>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</si>
  <si>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</si>
  <si>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</si>
  <si>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</si>
  <si>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</si>
  <si>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</si>
  <si>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</si>
  <si>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</si>
  <si>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</si>
  <si>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</si>
  <si>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</si>
  <si>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</si>
  <si>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</si>
  <si>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</si>
  <si>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</si>
  <si>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AX100</t>
  </si>
  <si>
    <t>AX105</t>
  </si>
  <si>
    <t>AX110</t>
  </si>
  <si>
    <t>AX112</t>
  </si>
  <si>
    <t>AX120</t>
  </si>
  <si>
    <t>AX128</t>
  </si>
  <si>
    <t>AX21</t>
  </si>
  <si>
    <t>AX22</t>
  </si>
  <si>
    <t>AX23</t>
  </si>
  <si>
    <t>AX24</t>
  </si>
  <si>
    <t>AX25</t>
  </si>
  <si>
    <t>AX26</t>
  </si>
  <si>
    <t>AX27</t>
  </si>
  <si>
    <t>AX28</t>
  </si>
  <si>
    <t>AX29</t>
  </si>
  <si>
    <t>AX30</t>
  </si>
  <si>
    <t>AX31</t>
  </si>
  <si>
    <t>AX32</t>
  </si>
  <si>
    <t>AX33</t>
  </si>
  <si>
    <t>AX34</t>
  </si>
  <si>
    <t>AX35</t>
  </si>
  <si>
    <t>AX36</t>
  </si>
  <si>
    <t>AX37</t>
  </si>
  <si>
    <t>AX38</t>
  </si>
  <si>
    <t>AX39</t>
  </si>
  <si>
    <t>AX40</t>
  </si>
  <si>
    <t>AX41</t>
  </si>
  <si>
    <t>AX42</t>
  </si>
  <si>
    <t>AX43</t>
  </si>
  <si>
    <t>AX44</t>
  </si>
  <si>
    <t>AX45</t>
  </si>
  <si>
    <t>AX46</t>
  </si>
  <si>
    <t>AX47</t>
  </si>
  <si>
    <t>AX48</t>
  </si>
  <si>
    <t>AX49</t>
  </si>
  <si>
    <t>AX50</t>
  </si>
  <si>
    <t>AX51</t>
  </si>
  <si>
    <t>AX52</t>
  </si>
  <si>
    <t>AX53</t>
  </si>
  <si>
    <t>AX54</t>
  </si>
  <si>
    <t>AX55</t>
  </si>
  <si>
    <t>AX56</t>
  </si>
  <si>
    <t>AX57</t>
  </si>
  <si>
    <t>AX58</t>
  </si>
  <si>
    <t>AX59</t>
  </si>
  <si>
    <t>AX60</t>
  </si>
  <si>
    <t>AX61</t>
  </si>
  <si>
    <t>AX62</t>
  </si>
  <si>
    <t>AX63</t>
  </si>
  <si>
    <t>AX64</t>
  </si>
  <si>
    <t>AX65</t>
  </si>
  <si>
    <t>AX66</t>
  </si>
  <si>
    <t>AX67</t>
  </si>
  <si>
    <t>AX68</t>
  </si>
  <si>
    <t>AX69</t>
  </si>
  <si>
    <t>AX70</t>
  </si>
  <si>
    <t>AX71</t>
  </si>
  <si>
    <t>AX72</t>
  </si>
  <si>
    <t>AX73</t>
  </si>
  <si>
    <t>AX74</t>
  </si>
  <si>
    <t>AX75</t>
  </si>
  <si>
    <t>AX76</t>
  </si>
  <si>
    <t>AX77</t>
  </si>
  <si>
    <t>AX78</t>
  </si>
  <si>
    <t>AX79</t>
  </si>
  <si>
    <t>AX80</t>
  </si>
  <si>
    <t>AX81</t>
  </si>
  <si>
    <t>AX82</t>
  </si>
  <si>
    <t>AX83</t>
  </si>
  <si>
    <t>AX84</t>
  </si>
  <si>
    <t>AX85</t>
  </si>
  <si>
    <t>AX86</t>
  </si>
  <si>
    <t>AX87</t>
  </si>
  <si>
    <t>AX89</t>
  </si>
  <si>
    <t>AX90</t>
  </si>
  <si>
    <t>AX91</t>
  </si>
  <si>
    <t>AX93</t>
  </si>
  <si>
    <t>AX94</t>
  </si>
  <si>
    <t>AX95</t>
  </si>
  <si>
    <t>AX96</t>
  </si>
  <si>
    <t>AX97</t>
  </si>
  <si>
    <t>AX98</t>
  </si>
  <si>
    <t>B100</t>
  </si>
  <si>
    <t>B101</t>
  </si>
  <si>
    <t>B103</t>
  </si>
  <si>
    <t>B105</t>
  </si>
  <si>
    <t>B108</t>
  </si>
  <si>
    <t>B111</t>
  </si>
  <si>
    <t>B112</t>
  </si>
  <si>
    <t>B116</t>
  </si>
  <si>
    <t>B120</t>
  </si>
  <si>
    <t>B123</t>
  </si>
  <si>
    <t>B124</t>
  </si>
  <si>
    <t>B126</t>
  </si>
  <si>
    <t>B128</t>
  </si>
  <si>
    <t>B133</t>
  </si>
  <si>
    <t>B136</t>
  </si>
  <si>
    <t>B140</t>
  </si>
  <si>
    <t>B144</t>
  </si>
  <si>
    <t>B148</t>
  </si>
  <si>
    <t>B150</t>
  </si>
  <si>
    <t>B154</t>
  </si>
  <si>
    <t>B158</t>
  </si>
  <si>
    <t>B162</t>
  </si>
  <si>
    <t>B173</t>
  </si>
  <si>
    <t>B180</t>
  </si>
  <si>
    <t>B190</t>
  </si>
  <si>
    <t>B195</t>
  </si>
  <si>
    <t>B205</t>
  </si>
  <si>
    <t>B210</t>
  </si>
  <si>
    <t>B225</t>
  </si>
  <si>
    <t>B240</t>
  </si>
  <si>
    <t>B25</t>
  </si>
  <si>
    <t>B255</t>
  </si>
  <si>
    <t>B26</t>
  </si>
  <si>
    <t>B270</t>
  </si>
  <si>
    <t>B28</t>
  </si>
  <si>
    <t>B285</t>
  </si>
  <si>
    <t>B29</t>
  </si>
  <si>
    <t>B30</t>
  </si>
  <si>
    <t>B300</t>
  </si>
  <si>
    <t>B31</t>
  </si>
  <si>
    <t>B315</t>
  </si>
  <si>
    <t>B32</t>
  </si>
  <si>
    <t>B33</t>
  </si>
  <si>
    <t>B34</t>
  </si>
  <si>
    <t>B35</t>
  </si>
  <si>
    <t>B36</t>
  </si>
  <si>
    <t>B360</t>
  </si>
  <si>
    <t>B37</t>
  </si>
  <si>
    <t>B38</t>
  </si>
  <si>
    <t>B39</t>
  </si>
  <si>
    <t>B40</t>
  </si>
  <si>
    <t>B41</t>
  </si>
  <si>
    <t>B42</t>
  </si>
  <si>
    <t>B43</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</si>
  <si>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</si>
  <si>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</si>
  <si>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</si>
  <si>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</si>
  <si>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</si>
  <si>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</si>
  <si>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</si>
  <si>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</si>
  <si>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</si>
  <si>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</si>
  <si>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</si>
  <si>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</si>
  <si>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</si>
  <si>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</si>
  <si>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</si>
  <si>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</si>
  <si>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</si>
  <si>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</si>
  <si>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</si>
  <si>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</si>
  <si>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</si>
  <si>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</si>
  <si>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</si>
  <si>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</si>
  <si>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</si>
  <si>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</si>
  <si>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</si>
  <si>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B72</t>
  </si>
  <si>
    <t>B73</t>
  </si>
  <si>
    <t>B74</t>
  </si>
  <si>
    <t>B75</t>
  </si>
  <si>
    <t>B76</t>
  </si>
  <si>
    <t>B77</t>
  </si>
  <si>
    <t>B78</t>
  </si>
  <si>
    <t>B79</t>
  </si>
  <si>
    <t>B80</t>
  </si>
  <si>
    <t>B81</t>
  </si>
  <si>
    <t>B82</t>
  </si>
  <si>
    <t>B83</t>
  </si>
  <si>
    <t>B84</t>
  </si>
  <si>
    <t>B85</t>
  </si>
  <si>
    <t>B86</t>
  </si>
  <si>
    <t>B87</t>
  </si>
  <si>
    <t>B88</t>
  </si>
  <si>
    <t>B89</t>
  </si>
  <si>
    <t>B90</t>
  </si>
  <si>
    <t>B91</t>
  </si>
  <si>
    <t>B92</t>
  </si>
  <si>
    <t>B93</t>
  </si>
  <si>
    <t>B94</t>
  </si>
  <si>
    <t>B95</t>
  </si>
  <si>
    <t>B96</t>
  </si>
  <si>
    <t>B97</t>
  </si>
  <si>
    <t>B98</t>
  </si>
  <si>
    <t>B99</t>
  </si>
  <si>
    <t>BX100</t>
  </si>
  <si>
    <t>BX103</t>
  </si>
  <si>
    <t>BX105</t>
  </si>
  <si>
    <t>BX106</t>
  </si>
  <si>
    <t>BX108</t>
  </si>
  <si>
    <t>BX112</t>
  </si>
  <si>
    <t>BX113</t>
  </si>
  <si>
    <t>BX115</t>
  </si>
  <si>
    <t>BX116</t>
  </si>
  <si>
    <t>BX120</t>
  </si>
  <si>
    <t>BX124</t>
  </si>
  <si>
    <t>BX128</t>
  </si>
  <si>
    <t>BX136</t>
  </si>
  <si>
    <t>BX140</t>
  </si>
  <si>
    <t>BX144</t>
  </si>
  <si>
    <t>BX150</t>
  </si>
  <si>
    <t>BX158</t>
  </si>
  <si>
    <t>BX162</t>
  </si>
  <si>
    <t>BX173</t>
  </si>
  <si>
    <t>BX180</t>
  </si>
  <si>
    <t>BX195</t>
  </si>
  <si>
    <t>BX210</t>
  </si>
  <si>
    <t>BX225</t>
  </si>
  <si>
    <t>BX270</t>
  </si>
  <si>
    <t>BX28</t>
  </si>
  <si>
    <t>BX31</t>
  </si>
  <si>
    <t>BX32</t>
  </si>
  <si>
    <t>BX35</t>
  </si>
  <si>
    <t>BX36</t>
  </si>
  <si>
    <t>BX37</t>
  </si>
  <si>
    <t>BX38</t>
  </si>
  <si>
    <t>BX39</t>
  </si>
  <si>
    <t>BX40</t>
  </si>
  <si>
    <t>BX41</t>
  </si>
  <si>
    <t>BX42</t>
  </si>
  <si>
    <t>BX43</t>
  </si>
  <si>
    <t>BX44</t>
  </si>
  <si>
    <t>BX45</t>
  </si>
  <si>
    <t>BX46</t>
  </si>
  <si>
    <t>BX47</t>
  </si>
  <si>
    <t>BX48</t>
  </si>
  <si>
    <t>BX49</t>
  </si>
  <si>
    <t>BX50</t>
  </si>
  <si>
    <t>BX52</t>
  </si>
  <si>
    <t>BX53</t>
  </si>
  <si>
    <t>BX54</t>
  </si>
  <si>
    <t>BX55</t>
  </si>
  <si>
    <t>BX56</t>
  </si>
  <si>
    <t>BX57</t>
  </si>
  <si>
    <t>BX58</t>
  </si>
  <si>
    <t>BX59</t>
  </si>
  <si>
    <t>BX60</t>
  </si>
  <si>
    <t>BX61</t>
  </si>
  <si>
    <t>BX62</t>
  </si>
  <si>
    <t>BX63</t>
  </si>
  <si>
    <t>BX64</t>
  </si>
  <si>
    <t>BX66</t>
  </si>
  <si>
    <t>BX67</t>
  </si>
  <si>
    <t>BX68</t>
  </si>
  <si>
    <t>BX69</t>
  </si>
  <si>
    <t>BX70</t>
  </si>
  <si>
    <t>BX71</t>
  </si>
  <si>
    <t>BX72</t>
  </si>
  <si>
    <t>BX73</t>
  </si>
  <si>
    <t>BX74</t>
  </si>
  <si>
    <t>BX75</t>
  </si>
  <si>
    <t>BX76</t>
  </si>
  <si>
    <t>BX77</t>
  </si>
  <si>
    <t>BX78</t>
  </si>
  <si>
    <t>BX79</t>
  </si>
  <si>
    <t>BX80</t>
  </si>
  <si>
    <t>BX81</t>
  </si>
  <si>
    <t>BX82</t>
  </si>
  <si>
    <t>BX83</t>
  </si>
  <si>
    <t>BX84</t>
  </si>
  <si>
    <t>BX85</t>
  </si>
  <si>
    <t>BX86</t>
  </si>
  <si>
    <t>BX87</t>
  </si>
  <si>
    <t>BX88</t>
  </si>
  <si>
    <t>BX89</t>
  </si>
  <si>
    <t>BX90</t>
  </si>
  <si>
    <t>BX91</t>
  </si>
  <si>
    <t>BX92</t>
  </si>
  <si>
    <t>BX93</t>
  </si>
  <si>
    <t>BX94</t>
  </si>
  <si>
    <t>BX95</t>
  </si>
  <si>
    <t>BX96</t>
  </si>
  <si>
    <t>BX97</t>
  </si>
  <si>
    <t>BX98</t>
  </si>
  <si>
    <t>BX99</t>
  </si>
  <si>
    <t>10x20x1</t>
  </si>
  <si>
    <t>Pleat</t>
  </si>
  <si>
    <t>12x20x1</t>
  </si>
  <si>
    <t>12x24x1</t>
  </si>
  <si>
    <t>14x14x1</t>
  </si>
  <si>
    <t>14x20x1</t>
  </si>
  <si>
    <t>14x25x1</t>
  </si>
  <si>
    <t>15x20x1</t>
  </si>
  <si>
    <t>16x16x1</t>
  </si>
  <si>
    <t>16x20x1</t>
  </si>
  <si>
    <t>16x24x1</t>
  </si>
  <si>
    <t>16x25x1</t>
  </si>
  <si>
    <t>18x18x1</t>
  </si>
  <si>
    <t>18x20x1</t>
  </si>
  <si>
    <t>18x24x1</t>
  </si>
  <si>
    <t>18x25x1</t>
  </si>
  <si>
    <t>20x20x1</t>
  </si>
  <si>
    <t>20x24x1</t>
  </si>
  <si>
    <t>20x25x1</t>
  </si>
  <si>
    <t>20x30x1</t>
  </si>
  <si>
    <t>24x24x1</t>
  </si>
  <si>
    <t>25x25x1</t>
  </si>
  <si>
    <t>12x24x2</t>
  </si>
  <si>
    <t>14x20x2</t>
  </si>
  <si>
    <t>14x25x2</t>
  </si>
  <si>
    <t>15x20x2</t>
  </si>
  <si>
    <t>16x16x2</t>
  </si>
  <si>
    <t>16x20x2</t>
  </si>
  <si>
    <t>16x24x2</t>
  </si>
  <si>
    <t>16x25x2</t>
  </si>
  <si>
    <t>18x20x2</t>
  </si>
  <si>
    <t>18x24x2</t>
  </si>
  <si>
    <t>18x25x2</t>
  </si>
  <si>
    <t>20x20x2</t>
  </si>
  <si>
    <t>20x24x2</t>
  </si>
  <si>
    <t>20x25x2</t>
  </si>
  <si>
    <t>24x24x2</t>
  </si>
  <si>
    <t>25x25x2</t>
  </si>
  <si>
    <t>20x30x2</t>
  </si>
  <si>
    <t>16x20x4</t>
  </si>
  <si>
    <t>16x25x4</t>
  </si>
  <si>
    <t>18x24x4</t>
  </si>
  <si>
    <t>20x20x4</t>
  </si>
  <si>
    <t>20x24x4</t>
  </si>
  <si>
    <t>20x25x4</t>
  </si>
  <si>
    <t>24x24x4</t>
  </si>
  <si>
    <t>YEAR</t>
  </si>
  <si>
    <t>RTUs</t>
  </si>
  <si>
    <r>
      <rPr>
        <b/>
        <sz val="10"/>
        <rFont val="Arial"/>
        <family val="2"/>
      </rPr>
      <t>MINIMUM</t>
    </r>
    <r>
      <rPr>
        <sz val="10"/>
        <rFont val="Arial"/>
        <family val="2"/>
      </rPr>
      <t xml:space="preserve"> LABOR FACTORS</t>
    </r>
  </si>
  <si>
    <t>Spring</t>
  </si>
  <si>
    <t>Summer</t>
  </si>
  <si>
    <t>Fall</t>
  </si>
  <si>
    <t>Winter</t>
  </si>
  <si>
    <t>1 thru 9</t>
  </si>
  <si>
    <t>10 thru 19</t>
  </si>
  <si>
    <t>20 thru 39</t>
  </si>
  <si>
    <t>40 thru 59</t>
  </si>
  <si>
    <t>60 thru 89</t>
  </si>
  <si>
    <t>90 and up</t>
  </si>
  <si>
    <r>
      <t xml:space="preserve">****  Labor factors for </t>
    </r>
    <r>
      <rPr>
        <b/>
        <sz val="10"/>
        <rFont val="Arial"/>
        <family val="2"/>
      </rPr>
      <t>PM ONLY!</t>
    </r>
    <r>
      <rPr>
        <sz val="10"/>
        <rFont val="Arial"/>
        <family val="2"/>
      </rPr>
      <t xml:space="preserve">  Does not include coil cleaning!</t>
    </r>
  </si>
  <si>
    <t>MFG Year</t>
  </si>
  <si>
    <t>Roof</t>
  </si>
  <si>
    <t>Trane</t>
  </si>
  <si>
    <t>TECH</t>
  </si>
  <si>
    <t>HOURS</t>
  </si>
  <si>
    <t>6 ton</t>
  </si>
  <si>
    <t>gm%</t>
  </si>
  <si>
    <t>multiplier</t>
  </si>
  <si>
    <t>YCD049C4HABF</t>
  </si>
  <si>
    <t>P26101889D</t>
  </si>
  <si>
    <t>4 ton</t>
  </si>
  <si>
    <t>RTU04A</t>
  </si>
  <si>
    <t>ROOF</t>
  </si>
  <si>
    <t>YCD049C4NABF</t>
  </si>
  <si>
    <t>P26101845D</t>
  </si>
  <si>
    <t>RTU04B</t>
  </si>
  <si>
    <t>YCDO49C4HCBA</t>
  </si>
  <si>
    <t>P26101898D</t>
  </si>
  <si>
    <t>RTU04HA</t>
  </si>
  <si>
    <t>YCD49C4HCBF</t>
  </si>
  <si>
    <t>P26101854D</t>
  </si>
  <si>
    <t>RTU-4HB</t>
  </si>
  <si>
    <t>YCD074CHCBE</t>
  </si>
  <si>
    <t>P26101867D</t>
  </si>
  <si>
    <t>RTU06H</t>
  </si>
  <si>
    <t>YCD086C4HCBE</t>
  </si>
  <si>
    <t>P26101875D</t>
  </si>
  <si>
    <t>7 ton</t>
  </si>
  <si>
    <t>RTU07HA</t>
  </si>
  <si>
    <t>YCD103C4HAAB</t>
  </si>
  <si>
    <t>P26102436D</t>
  </si>
  <si>
    <t>RTU-8</t>
  </si>
  <si>
    <t>P26101911D</t>
  </si>
  <si>
    <t>8.5 ton</t>
  </si>
  <si>
    <t>RTU-07HB</t>
  </si>
  <si>
    <t>YCD121C4HAAA</t>
  </si>
  <si>
    <t>P26102479D</t>
  </si>
  <si>
    <t>10 ton</t>
  </si>
  <si>
    <t>RTU-10</t>
  </si>
  <si>
    <t>TCD480A40E2C7NH2AB0D000HJ000</t>
  </si>
  <si>
    <t>C99G12490M</t>
  </si>
  <si>
    <t>40 ton</t>
  </si>
  <si>
    <t>RTU-40</t>
  </si>
  <si>
    <t>AAON</t>
  </si>
  <si>
    <t>RQ-006-3-V-EA09-354</t>
  </si>
  <si>
    <t>201210-AYGF04157</t>
  </si>
  <si>
    <t>RTU-01</t>
  </si>
  <si>
    <t>5 ton</t>
  </si>
  <si>
    <t>IKM</t>
  </si>
  <si>
    <t>Semco</t>
  </si>
  <si>
    <t>FV-2000</t>
  </si>
  <si>
    <t>18608/30363-000</t>
  </si>
  <si>
    <t>ERV-1</t>
  </si>
  <si>
    <t>FV3000S-4RN4AB</t>
  </si>
  <si>
    <t>46456/M040171-01</t>
  </si>
  <si>
    <t>ERV-2</t>
  </si>
  <si>
    <t>CCAD0404CJ00AD1R0F0BAUHG</t>
  </si>
  <si>
    <t>U99H01311</t>
  </si>
  <si>
    <t>CH-1</t>
  </si>
  <si>
    <t>Didetrich Boiler Rm</t>
  </si>
  <si>
    <t>CAUCC4042H1301</t>
  </si>
  <si>
    <t>C99G12868M</t>
  </si>
  <si>
    <t>CU-1</t>
  </si>
  <si>
    <t>DeDietrich</t>
  </si>
  <si>
    <t>C230ECO-3</t>
  </si>
  <si>
    <t>110093510015000003</t>
  </si>
  <si>
    <t>BL-1</t>
  </si>
  <si>
    <t>Boiler Room</t>
  </si>
  <si>
    <t>C230CEO-5</t>
  </si>
  <si>
    <t>110093510015000004</t>
  </si>
  <si>
    <t>BL-2</t>
  </si>
  <si>
    <t>B&amp;G</t>
  </si>
  <si>
    <t>15BC</t>
  </si>
  <si>
    <t>C155597-02H21</t>
  </si>
  <si>
    <t>PUMP-1</t>
  </si>
  <si>
    <t>LL C Wing- PK boiler room</t>
  </si>
  <si>
    <t>PL-55</t>
  </si>
  <si>
    <t>IBLO32</t>
  </si>
  <si>
    <t>PUMP-17</t>
  </si>
  <si>
    <t>C155597-01H21</t>
  </si>
  <si>
    <t>PUMP-2</t>
  </si>
  <si>
    <t>LL C Wing - PK boiler room</t>
  </si>
  <si>
    <t>60  15X6.25 5.0756F</t>
  </si>
  <si>
    <t>C203631-01 C51</t>
  </si>
  <si>
    <t>PUMP-3</t>
  </si>
  <si>
    <t>LL Boiler Room</t>
  </si>
  <si>
    <t>Armstrong</t>
  </si>
  <si>
    <t>3x2x8  4030</t>
  </si>
  <si>
    <t>408553</t>
  </si>
  <si>
    <t>PUMP-10</t>
  </si>
  <si>
    <t>408555</t>
  </si>
  <si>
    <t>PUMP-5</t>
  </si>
  <si>
    <t>408556</t>
  </si>
  <si>
    <t>PUMP-6</t>
  </si>
  <si>
    <t>408745</t>
  </si>
  <si>
    <t>PUMP-7</t>
  </si>
  <si>
    <t>408744</t>
  </si>
  <si>
    <t>PUMP-8</t>
  </si>
  <si>
    <t>408544</t>
  </si>
  <si>
    <t>PUMP-9</t>
  </si>
  <si>
    <t>Cook</t>
  </si>
  <si>
    <t>5 hp</t>
  </si>
  <si>
    <t>GRBA60GDHEON7JP102AOF</t>
  </si>
  <si>
    <t>C99G12899M</t>
  </si>
  <si>
    <t>600,000BTU</t>
  </si>
  <si>
    <t>MUA-1</t>
  </si>
  <si>
    <t>29 ton</t>
  </si>
  <si>
    <t>RN-015-3-0-EBO9-369</t>
  </si>
  <si>
    <t>201210-ANGL25303</t>
  </si>
  <si>
    <t>Roof C Wing</t>
  </si>
  <si>
    <t>Bathroom</t>
  </si>
  <si>
    <t>PK</t>
  </si>
  <si>
    <t>C750</t>
  </si>
  <si>
    <t>W636-12-8699A</t>
  </si>
  <si>
    <t>BL-3</t>
  </si>
  <si>
    <t>LL C Wing- Boiler Room</t>
  </si>
  <si>
    <t>W636-12-8700A</t>
  </si>
  <si>
    <t>BL-4</t>
  </si>
  <si>
    <t>ABB</t>
  </si>
  <si>
    <t>PUMP-11</t>
  </si>
  <si>
    <t>W/VFD's Boiler Room</t>
  </si>
  <si>
    <t>PUMP-12</t>
  </si>
  <si>
    <t>Weil McCla</t>
  </si>
  <si>
    <t>Ultra 230</t>
  </si>
  <si>
    <t>BL-5</t>
  </si>
  <si>
    <t>BL-6</t>
  </si>
  <si>
    <t>Taco</t>
  </si>
  <si>
    <t>0014-F1</t>
  </si>
  <si>
    <t>PUMP-15</t>
  </si>
  <si>
    <t>PUMP-16</t>
  </si>
  <si>
    <t>Emerson</t>
  </si>
  <si>
    <t>BV03</t>
  </si>
  <si>
    <t>L02-BV03-M</t>
  </si>
  <si>
    <t>PUMP-13</t>
  </si>
  <si>
    <t>PUMP-14</t>
  </si>
  <si>
    <t>60  1.5X6.25  5.0756F</t>
  </si>
  <si>
    <t>C203631-02  C51</t>
  </si>
  <si>
    <t>PUMP-4</t>
  </si>
  <si>
    <t>Evapco</t>
  </si>
  <si>
    <t>ATW-24-4G-2</t>
  </si>
  <si>
    <t>6-304527</t>
  </si>
  <si>
    <t>CTWR-1</t>
  </si>
  <si>
    <t>Employee Entrance</t>
  </si>
  <si>
    <t>DanFoss</t>
  </si>
  <si>
    <t>132F0020</t>
  </si>
  <si>
    <t>036217A241</t>
  </si>
  <si>
    <t>VFD-1</t>
  </si>
  <si>
    <t>Maint Boiler Rm</t>
  </si>
  <si>
    <t>033617A241</t>
  </si>
  <si>
    <t>VFD-2</t>
  </si>
  <si>
    <t>Aaon</t>
  </si>
  <si>
    <t>H3-CRB-3-0-162C-3HS</t>
  </si>
  <si>
    <t>201909-CJEC05446</t>
  </si>
  <si>
    <t>ERU-3</t>
  </si>
  <si>
    <t>Mezz Haven Wing</t>
  </si>
  <si>
    <t>SFHFC204HT10C29D1001AB0E0000RTOY0000</t>
  </si>
  <si>
    <t>C99G12772M</t>
  </si>
  <si>
    <t>20 ton</t>
  </si>
  <si>
    <t>RTU-20K</t>
  </si>
  <si>
    <t>Kitchen</t>
  </si>
  <si>
    <t>Middleton, WI</t>
  </si>
  <si>
    <t>Greenheck</t>
  </si>
  <si>
    <t>SQ-120-B</t>
  </si>
  <si>
    <t>13001062  1209</t>
  </si>
  <si>
    <t>13001061  1209</t>
  </si>
  <si>
    <t>SQ-95-D</t>
  </si>
  <si>
    <t>13001054  1209</t>
  </si>
  <si>
    <t>13001063  1209</t>
  </si>
  <si>
    <t>SQ-90-D</t>
  </si>
  <si>
    <t>13001065  1209</t>
  </si>
  <si>
    <t>FAN-1</t>
  </si>
  <si>
    <t>FAN-2</t>
  </si>
  <si>
    <t>FAN-3</t>
  </si>
  <si>
    <t>FAN-4</t>
  </si>
  <si>
    <t>FAN-5</t>
  </si>
  <si>
    <t>HP-1</t>
  </si>
  <si>
    <t>HP-10</t>
  </si>
  <si>
    <t>HP-11</t>
  </si>
  <si>
    <t>HP-12</t>
  </si>
  <si>
    <t>HP-13</t>
  </si>
  <si>
    <t>HP-14</t>
  </si>
  <si>
    <t>HP-15</t>
  </si>
  <si>
    <t>HP-16</t>
  </si>
  <si>
    <t>HP-17</t>
  </si>
  <si>
    <t>HP-18</t>
  </si>
  <si>
    <t>HP-19</t>
  </si>
  <si>
    <t>HP-2</t>
  </si>
  <si>
    <t>HP-20</t>
  </si>
  <si>
    <t>HP-21</t>
  </si>
  <si>
    <t>HP-22</t>
  </si>
  <si>
    <t>HP-23</t>
  </si>
  <si>
    <t>HP-24</t>
  </si>
  <si>
    <t>HP-25</t>
  </si>
  <si>
    <t>HP-28</t>
  </si>
  <si>
    <t>HP-29</t>
  </si>
  <si>
    <t>HP-3</t>
  </si>
  <si>
    <t>HP-30</t>
  </si>
  <si>
    <t>HP33</t>
  </si>
  <si>
    <t>HP34</t>
  </si>
  <si>
    <t>HP35</t>
  </si>
  <si>
    <t>HP-4</t>
  </si>
  <si>
    <t>HP-5</t>
  </si>
  <si>
    <t>HP-6</t>
  </si>
  <si>
    <t>HP-7</t>
  </si>
  <si>
    <t>HP-8</t>
  </si>
  <si>
    <t>HP-9</t>
  </si>
  <si>
    <t>Gehb01271R01B3BLD0100001A00000000000IPXO</t>
  </si>
  <si>
    <t>WO7C16921</t>
  </si>
  <si>
    <t>GEHB01271R01B3BLD0100001A00000000000IPXO</t>
  </si>
  <si>
    <t>W07C16934</t>
  </si>
  <si>
    <t>W07C16935</t>
  </si>
  <si>
    <t>W07C16924</t>
  </si>
  <si>
    <t>W07C16925</t>
  </si>
  <si>
    <t>GEHB01271R01B0BLD010000100000000000IPXO</t>
  </si>
  <si>
    <t>W07C16922</t>
  </si>
  <si>
    <t>W07C16926</t>
  </si>
  <si>
    <t>W07C16929</t>
  </si>
  <si>
    <t>W07C16927</t>
  </si>
  <si>
    <t>W07C16918</t>
  </si>
  <si>
    <t>W07C16928</t>
  </si>
  <si>
    <t>W07C16931</t>
  </si>
  <si>
    <t>GEHB01871R02B0RRD010000100000000000IPXO</t>
  </si>
  <si>
    <t>W07C16936</t>
  </si>
  <si>
    <t>GEHB00971R02B0LRD010000100000000000IPXO</t>
  </si>
  <si>
    <t>W07C16937</t>
  </si>
  <si>
    <t/>
  </si>
  <si>
    <t>GEHB07241D0AB0RLD010000100000000000IPXO</t>
  </si>
  <si>
    <t>W07A00732</t>
  </si>
  <si>
    <t>GEHB02441RRD010000100000000000</t>
  </si>
  <si>
    <t>W07C16938</t>
  </si>
  <si>
    <t>GEHB00971R02BOLLD010000100000000000IPXO</t>
  </si>
  <si>
    <t>W07C16940</t>
  </si>
  <si>
    <t>W07C16920</t>
  </si>
  <si>
    <t>W07C16941</t>
  </si>
  <si>
    <t>GEHB0241R02B0RRD010000100000000000IPXO</t>
  </si>
  <si>
    <t>W07C51943</t>
  </si>
  <si>
    <t>GEHB01571R0B0LLD010000100000000000IPXO</t>
  </si>
  <si>
    <t>W07C16944</t>
  </si>
  <si>
    <t>GEHB01571R01B0BLD010000100000000000IPXO</t>
  </si>
  <si>
    <t>W07C16945</t>
  </si>
  <si>
    <t>W07C16930</t>
  </si>
  <si>
    <t>W07C16916</t>
  </si>
  <si>
    <t>W07C16917</t>
  </si>
  <si>
    <t>W07C16933</t>
  </si>
  <si>
    <t>W07C16919</t>
  </si>
  <si>
    <t>W07C16932</t>
  </si>
  <si>
    <t>Haven: Room H1</t>
  </si>
  <si>
    <t>Haven: Room</t>
  </si>
  <si>
    <t>Haven: Room H11</t>
  </si>
  <si>
    <t>Haven: Room H12</t>
  </si>
  <si>
    <t>Haven: Room H13</t>
  </si>
  <si>
    <t>Haven: Room H14</t>
  </si>
  <si>
    <t>Haven: Room H15</t>
  </si>
  <si>
    <t>Haven: Room H16</t>
  </si>
  <si>
    <t>Haven: Room H17</t>
  </si>
  <si>
    <t>Haven: Room H18</t>
  </si>
  <si>
    <t>Haven: Room H19</t>
  </si>
  <si>
    <t>Haven: Room H2</t>
  </si>
  <si>
    <t>Haven: Room H20</t>
  </si>
  <si>
    <t>Haven: Room 106 (FOYER)</t>
  </si>
  <si>
    <t>Haven: Room 108</t>
  </si>
  <si>
    <t>Haven: Kitchen Area 132,133</t>
  </si>
  <si>
    <t>In activity area</t>
  </si>
  <si>
    <t>Haven: Salon</t>
  </si>
  <si>
    <t>Haven: Room H3</t>
  </si>
  <si>
    <t>Haven: Equipment Storage</t>
  </si>
  <si>
    <t>Haven: Room H4</t>
  </si>
  <si>
    <t>Haven: Room H5</t>
  </si>
  <si>
    <t>Haven: Room H6</t>
  </si>
  <si>
    <t>Haven: Room H7</t>
  </si>
  <si>
    <t>Haven: Room H9</t>
  </si>
  <si>
    <t>Apprentice?</t>
  </si>
  <si>
    <t>Y</t>
  </si>
  <si>
    <t>Journeyman</t>
  </si>
  <si>
    <t>PMA BOOKING DATA SHEET</t>
  </si>
  <si>
    <t>Date :</t>
  </si>
  <si>
    <t>Date:</t>
  </si>
  <si>
    <t>CONTRACT # :</t>
  </si>
  <si>
    <t>Sold by :</t>
  </si>
  <si>
    <t>Sold By:</t>
  </si>
  <si>
    <t>Account Manager :</t>
  </si>
  <si>
    <t>PO # :</t>
  </si>
  <si>
    <t>PO #:</t>
  </si>
  <si>
    <t>Prepared By :</t>
  </si>
  <si>
    <t>Market Segment:</t>
  </si>
  <si>
    <t>REL            CHURCH/SYNAGOGUE/ETC</t>
  </si>
  <si>
    <t>Preferred Tech:</t>
  </si>
  <si>
    <t>New Contract?</t>
  </si>
  <si>
    <t>Renewal?</t>
  </si>
  <si>
    <t>Secondary Tech:</t>
  </si>
  <si>
    <t>MAINTENANCE CONTRACT TYPE</t>
  </si>
  <si>
    <t>Planned Maintenance Contract</t>
  </si>
  <si>
    <t>Full Labor No Parts</t>
  </si>
  <si>
    <t>Automation Monitoring</t>
  </si>
  <si>
    <t>Full Service Agreement</t>
  </si>
  <si>
    <t>HVAC Bank of Hours</t>
  </si>
  <si>
    <t>Automation Planned Maintenance T&amp;M</t>
  </si>
  <si>
    <t>Planned Maintenance Labor Only</t>
  </si>
  <si>
    <t>Automation Full Maintenance</t>
  </si>
  <si>
    <t>Plumbing Maintenance Contract</t>
  </si>
  <si>
    <t>Planned Maintenance T&amp;M</t>
  </si>
  <si>
    <t>Automation Planned Maintenance</t>
  </si>
  <si>
    <t>Plumbing Maintenance Labor Only</t>
  </si>
  <si>
    <t>CUSTOMER INFORMATION ( Bill to address )</t>
  </si>
  <si>
    <t>Company :</t>
  </si>
  <si>
    <t>SPECIAL INSTRUCTIONS / SAFETY</t>
  </si>
  <si>
    <t>Address :</t>
  </si>
  <si>
    <t>Address</t>
  </si>
  <si>
    <t>City / State :</t>
  </si>
  <si>
    <t>Zip :</t>
  </si>
  <si>
    <t>County:</t>
  </si>
  <si>
    <t>Coins A/R# :</t>
  </si>
  <si>
    <t>LOCATION INFORMATION</t>
  </si>
  <si>
    <t xml:space="preserve">CONTACT INFO: </t>
  </si>
  <si>
    <t>NAME</t>
  </si>
  <si>
    <t>PHONE</t>
  </si>
  <si>
    <t>EMAIL</t>
  </si>
  <si>
    <t xml:space="preserve">County: </t>
  </si>
  <si>
    <t>Site #</t>
  </si>
  <si>
    <t>BUDGET INFORMATION</t>
  </si>
  <si>
    <t>Sell Amount :</t>
  </si>
  <si>
    <t>Profit :</t>
  </si>
  <si>
    <t>Cost :</t>
  </si>
  <si>
    <t>GM % :</t>
  </si>
  <si>
    <t>Special Rate:</t>
  </si>
  <si>
    <t>Standard</t>
  </si>
  <si>
    <t>Emcor Supplier Rates 2</t>
  </si>
  <si>
    <t>Preferred Rate</t>
  </si>
  <si>
    <t xml:space="preserve">BILLING INFORMATION </t>
  </si>
  <si>
    <t>BILLING MONTHS?</t>
  </si>
  <si>
    <t>Jan</t>
  </si>
  <si>
    <t>Feb</t>
  </si>
  <si>
    <t>Mar</t>
  </si>
  <si>
    <t>Apr</t>
  </si>
  <si>
    <t>Aug</t>
  </si>
  <si>
    <t xml:space="preserve">Sep </t>
  </si>
  <si>
    <t>Oct</t>
  </si>
  <si>
    <t xml:space="preserve">Nov </t>
  </si>
  <si>
    <t>Dec</t>
  </si>
  <si>
    <t>CONTRACT START DATE:</t>
  </si>
  <si>
    <t>END DATE</t>
  </si>
  <si>
    <t>FIRST BILLING MONTH:</t>
  </si>
  <si>
    <t>BILLING TYPE?</t>
  </si>
  <si>
    <t>Taxable ?</t>
  </si>
  <si>
    <t>Auto Renewal ?</t>
  </si>
  <si>
    <t>Auto Renewal % Increase</t>
  </si>
  <si>
    <t>Multi Year $#</t>
  </si>
  <si>
    <r>
      <t xml:space="preserve">Contract Packet Punchlist - </t>
    </r>
    <r>
      <rPr>
        <b/>
        <u/>
        <sz val="12"/>
        <rFont val="Arial"/>
        <family val="2"/>
      </rPr>
      <t>Initial</t>
    </r>
    <r>
      <rPr>
        <sz val="12"/>
        <rFont val="Arial"/>
        <family val="2"/>
      </rPr>
      <t xml:space="preserve"> items below to verify that this packet is complete </t>
    </r>
    <r>
      <rPr>
        <b/>
        <sz val="12"/>
        <rFont val="Arial"/>
        <family val="2"/>
      </rPr>
      <t>BEFORE</t>
    </r>
    <r>
      <rPr>
        <sz val="12"/>
        <rFont val="Arial"/>
        <family val="2"/>
      </rPr>
      <t xml:space="preserve"> sending to Contract Administration</t>
    </r>
  </si>
  <si>
    <r>
      <t>SIGNED PROPOSAL:</t>
    </r>
    <r>
      <rPr>
        <sz val="10"/>
        <rFont val="Arial"/>
        <family val="2"/>
      </rPr>
      <t xml:space="preserve"> IS A COPY OF THE SIGNED PROPOSAL ATTACHED?</t>
    </r>
  </si>
  <si>
    <t>PMA ESTIMATE COMPLETE?</t>
  </si>
  <si>
    <t xml:space="preserve">Location on P: </t>
  </si>
  <si>
    <r>
      <t xml:space="preserve">JOBSITE / CUSTOMER INFO: </t>
    </r>
    <r>
      <rPr>
        <sz val="10"/>
        <rFont val="Arial"/>
        <family val="2"/>
      </rPr>
      <t>CUSTOMER QUESTIONAIRE/ JOBSITE INFO COMPLETE?</t>
    </r>
  </si>
  <si>
    <t>IS THIS A MULTI-YEAR CONTRACT?</t>
  </si>
  <si>
    <t>OVERTIME: IS AN EXPLANATION FOR THE O.T. INCLUDED IN THE JOBSITE NOTES?</t>
  </si>
  <si>
    <t>APPROVALS</t>
  </si>
  <si>
    <t>Authorized Signature:</t>
  </si>
  <si>
    <t>Title :</t>
  </si>
  <si>
    <t>SALES MANAGER</t>
  </si>
  <si>
    <t>Date</t>
  </si>
  <si>
    <t>SERVICE OPERATIONS MANAGER</t>
  </si>
  <si>
    <t>Note : Please attach the Jobsite Info Sheet, Contract Proposal with Equipment List &amp; Scopes, and any other pertinent contract Information to this sheet.</t>
  </si>
  <si>
    <t>IDENTIFIER</t>
  </si>
  <si>
    <t>DESCRIPTOR</t>
  </si>
  <si>
    <t>BANK        BANK/FINANCIAL INSTITUTION</t>
  </si>
  <si>
    <t>COM         OFFICE BUILDINGS</t>
  </si>
  <si>
    <t>COMM    CELL SITE/DATA/FIBRE/ETC</t>
  </si>
  <si>
    <t>EDU          SCHOOL/COLLEGE/UNIVESITY</t>
  </si>
  <si>
    <t>FOOD      FOOD PROD/PROCCESS PLANT</t>
  </si>
  <si>
    <t>GAME     CASINO/STADIUM PARK/THEATRE</t>
  </si>
  <si>
    <t>GOVT      COURTHOUSE/LIBRARY/MILITARY</t>
  </si>
  <si>
    <t>HEA          HOSITAL/ASSISTED LIVING/REHAB</t>
  </si>
  <si>
    <t>HITECH    R&amp;D FACILITY/BIOTECH/CHIP</t>
  </si>
  <si>
    <t>HOSP       HOTEL/MOTEL/RESORT</t>
  </si>
  <si>
    <t>IND          INDIRECT CONTRACT</t>
  </si>
  <si>
    <t>INDUS     HEAV MFG/INDUSTRIAL/WHSE</t>
  </si>
  <si>
    <t>POWER    UTILITY &amp; GENERATION FACILITY</t>
  </si>
  <si>
    <t>RES            RESIDENTIAL - LESS THAN 5 STORIES</t>
  </si>
  <si>
    <t>RES5          RESIDENTIAL - 5 STORIES OR MORE</t>
  </si>
  <si>
    <t>RET           RESTAURANTS AND RETAIL STORES</t>
  </si>
  <si>
    <t>TRANS     AIRPORT/RR/ROADS/BRIDGES/ETC</t>
  </si>
  <si>
    <t>WAS        WASTE/SEWER/WATER TREAT FACILITY</t>
  </si>
  <si>
    <t>Emcor Supplier Rates</t>
  </si>
  <si>
    <t>Monthly</t>
  </si>
  <si>
    <t>Quarterly</t>
  </si>
  <si>
    <t>Semi Annual</t>
  </si>
  <si>
    <t>Annual</t>
  </si>
  <si>
    <t>Time of Service</t>
  </si>
  <si>
    <t>Custom</t>
  </si>
  <si>
    <t>Yellow are drop downs</t>
  </si>
  <si>
    <t>GREEN = INPUT</t>
  </si>
  <si>
    <t>Highlight the billing months</t>
  </si>
  <si>
    <t>NOTE</t>
  </si>
  <si>
    <t xml:space="preserve">TOTAL </t>
  </si>
  <si>
    <t>TOTAL BELT PRICE</t>
  </si>
  <si>
    <t>Cell with Red Triangle indicates NOTE is available with explanation</t>
  </si>
  <si>
    <t>ATTIC ANGELS</t>
  </si>
  <si>
    <t>APRIL</t>
  </si>
  <si>
    <t>MAY</t>
  </si>
  <si>
    <t>JUNE</t>
  </si>
  <si>
    <t>JULY</t>
  </si>
  <si>
    <t>MARCH</t>
  </si>
  <si>
    <t>FEBRUARY</t>
  </si>
  <si>
    <t>JANUARY</t>
  </si>
  <si>
    <t>AUGUST</t>
  </si>
  <si>
    <t>SEPTEMBER</t>
  </si>
  <si>
    <t>OCTOBER</t>
  </si>
  <si>
    <t>NOVEMBER</t>
  </si>
  <si>
    <t>DECEMBER</t>
  </si>
  <si>
    <t>YELLOW TEXT = REQUIRED FIELD</t>
  </si>
  <si>
    <t>YELLOW = CALCULATED FIELD</t>
  </si>
  <si>
    <t>Y or blank</t>
  </si>
  <si>
    <t>2L120</t>
  </si>
  <si>
    <t>2L140</t>
  </si>
  <si>
    <t>2L150</t>
  </si>
  <si>
    <t>2L160</t>
  </si>
  <si>
    <t>2L180</t>
  </si>
  <si>
    <t>2L190</t>
  </si>
  <si>
    <t>2L200</t>
  </si>
  <si>
    <t>2L205</t>
  </si>
  <si>
    <t>2L220</t>
  </si>
  <si>
    <t>2L240</t>
  </si>
  <si>
    <t>2L260</t>
  </si>
  <si>
    <t>2L300</t>
  </si>
  <si>
    <t>2L310</t>
  </si>
  <si>
    <t>2L320</t>
  </si>
  <si>
    <t>3L120</t>
  </si>
  <si>
    <t>3L130</t>
  </si>
  <si>
    <t>3L140</t>
  </si>
  <si>
    <t>3L280</t>
  </si>
  <si>
    <t>3L510</t>
  </si>
  <si>
    <t>3L520</t>
  </si>
  <si>
    <t>3L540</t>
  </si>
  <si>
    <t>3L550</t>
  </si>
  <si>
    <t>3L560</t>
  </si>
  <si>
    <t>3L570</t>
  </si>
  <si>
    <t>3L580</t>
  </si>
  <si>
    <t>3L590</t>
  </si>
  <si>
    <t>3L600</t>
  </si>
  <si>
    <t>3L610</t>
  </si>
  <si>
    <t>3L620</t>
  </si>
  <si>
    <t>3L630</t>
  </si>
  <si>
    <t>3L640</t>
  </si>
  <si>
    <t>3L650</t>
  </si>
  <si>
    <t>3L660</t>
  </si>
  <si>
    <t>3L670</t>
  </si>
  <si>
    <t>3L690</t>
  </si>
  <si>
    <t>3L730</t>
  </si>
  <si>
    <t>3L740</t>
  </si>
  <si>
    <t>3L760</t>
  </si>
  <si>
    <t>4L150</t>
  </si>
  <si>
    <t>4L160</t>
  </si>
  <si>
    <t>4L260</t>
  </si>
  <si>
    <t>4L270</t>
  </si>
  <si>
    <t>4L280</t>
  </si>
  <si>
    <t>4L290</t>
  </si>
  <si>
    <t>4L300</t>
  </si>
  <si>
    <t>4L310</t>
  </si>
  <si>
    <t>4L320</t>
  </si>
  <si>
    <t>4L330</t>
  </si>
  <si>
    <t>A39</t>
  </si>
  <si>
    <t>A98</t>
  </si>
  <si>
    <t>A133</t>
  </si>
  <si>
    <t>AX20</t>
  </si>
  <si>
    <t>AX88</t>
  </si>
  <si>
    <t>AX103</t>
  </si>
  <si>
    <t>B22</t>
  </si>
  <si>
    <t>B23</t>
  </si>
  <si>
    <t>B24</t>
  </si>
  <si>
    <t>B27</t>
  </si>
  <si>
    <t>B44</t>
  </si>
  <si>
    <t>B102SPL</t>
  </si>
  <si>
    <t>B104</t>
  </si>
  <si>
    <t>B107</t>
  </si>
  <si>
    <t>B110</t>
  </si>
  <si>
    <t>B114</t>
  </si>
  <si>
    <t>B115</t>
  </si>
  <si>
    <t>B118</t>
  </si>
  <si>
    <t>B122</t>
  </si>
  <si>
    <t>B130</t>
  </si>
  <si>
    <t>B131</t>
  </si>
  <si>
    <t>B138</t>
  </si>
  <si>
    <t>B142</t>
  </si>
  <si>
    <t>B147</t>
  </si>
  <si>
    <t>B164</t>
  </si>
  <si>
    <t>B166</t>
  </si>
  <si>
    <t>B175</t>
  </si>
  <si>
    <t>B185</t>
  </si>
  <si>
    <t>B330</t>
  </si>
  <si>
    <t>B394</t>
  </si>
  <si>
    <t>BX33SPL</t>
  </si>
  <si>
    <t>BX34</t>
  </si>
  <si>
    <t>BX51</t>
  </si>
  <si>
    <t>BX65</t>
  </si>
  <si>
    <t>BX123</t>
  </si>
  <si>
    <t>BX126</t>
  </si>
  <si>
    <t>BX133</t>
  </si>
  <si>
    <t>BX148</t>
  </si>
  <si>
    <t>BX154</t>
  </si>
  <si>
    <t>BX191</t>
  </si>
  <si>
    <t>BX240</t>
  </si>
  <si>
    <t>BX255</t>
  </si>
  <si>
    <t>BX300</t>
  </si>
  <si>
    <t>3V280</t>
  </si>
  <si>
    <t>3V300</t>
  </si>
  <si>
    <t>3V315</t>
  </si>
  <si>
    <t>3V335</t>
  </si>
  <si>
    <t>3V355ENV</t>
  </si>
  <si>
    <t>3V375</t>
  </si>
  <si>
    <t>3V400ENV</t>
  </si>
  <si>
    <t>3V425</t>
  </si>
  <si>
    <t>3V450ENV</t>
  </si>
  <si>
    <t>3V475</t>
  </si>
  <si>
    <t>3V500ENV</t>
  </si>
  <si>
    <t>3V530ENV</t>
  </si>
  <si>
    <t>3V560ENV</t>
  </si>
  <si>
    <t>3V600ENV</t>
  </si>
  <si>
    <t>3V630ENV</t>
  </si>
  <si>
    <t>3V670ENV</t>
  </si>
  <si>
    <t>3V710ENV</t>
  </si>
  <si>
    <t>3V750ENV</t>
  </si>
  <si>
    <t>3V800</t>
  </si>
  <si>
    <t>3V850ENV</t>
  </si>
  <si>
    <t>3V900ENV</t>
  </si>
  <si>
    <t>3V950</t>
  </si>
  <si>
    <t>3V1000ENV</t>
  </si>
  <si>
    <t>3V1060</t>
  </si>
  <si>
    <t>3V1120ENV</t>
  </si>
  <si>
    <t>3V1180</t>
  </si>
  <si>
    <t>3V1250</t>
  </si>
  <si>
    <t>3V1320</t>
  </si>
  <si>
    <t>3V1400</t>
  </si>
  <si>
    <t>3V250ENV</t>
  </si>
  <si>
    <t>3VX345</t>
  </si>
  <si>
    <t>3VX350</t>
  </si>
  <si>
    <t>3VX520SPL</t>
  </si>
  <si>
    <t>3VX830SPL</t>
  </si>
  <si>
    <t>3VX1500</t>
  </si>
  <si>
    <t>5V500</t>
  </si>
  <si>
    <t>5V560ENV</t>
  </si>
  <si>
    <t>5V630</t>
  </si>
  <si>
    <t>5V670ENV</t>
  </si>
  <si>
    <t>5V710</t>
  </si>
  <si>
    <t>5V750</t>
  </si>
  <si>
    <t>5V800ENV</t>
  </si>
  <si>
    <t>5V850</t>
  </si>
  <si>
    <t>5V900</t>
  </si>
  <si>
    <t>5V950</t>
  </si>
  <si>
    <t>5V1000ENV</t>
  </si>
  <si>
    <t>5V1060</t>
  </si>
  <si>
    <t>5V1120ENV</t>
  </si>
  <si>
    <t>5V1180</t>
  </si>
  <si>
    <t>5V1250ENV</t>
  </si>
  <si>
    <t>5V1320</t>
  </si>
  <si>
    <t>5V1400</t>
  </si>
  <si>
    <t>5V1500</t>
  </si>
  <si>
    <t>5V1600ENV</t>
  </si>
  <si>
    <t>5V1700ENV</t>
  </si>
  <si>
    <t>5V1800</t>
  </si>
  <si>
    <t>5V1900</t>
  </si>
  <si>
    <t>5V2000ENV</t>
  </si>
  <si>
    <t>5VX680</t>
  </si>
  <si>
    <t>5VX740</t>
  </si>
  <si>
    <t>5VX2500</t>
  </si>
  <si>
    <t>8V1000</t>
  </si>
  <si>
    <t>8V1060</t>
  </si>
  <si>
    <t>8V1120</t>
  </si>
  <si>
    <t>8V1180</t>
  </si>
  <si>
    <t>8V1250</t>
  </si>
  <si>
    <t>8V1320</t>
  </si>
  <si>
    <t>8V1400</t>
  </si>
  <si>
    <t>8V1500</t>
  </si>
  <si>
    <t>8V1600</t>
  </si>
  <si>
    <t>8V1650</t>
  </si>
  <si>
    <t>8V1700</t>
  </si>
  <si>
    <t>8V1800</t>
  </si>
  <si>
    <t>8V1900</t>
  </si>
  <si>
    <t>8V2000</t>
  </si>
  <si>
    <t>8V2120</t>
  </si>
  <si>
    <t>8V2240</t>
  </si>
  <si>
    <t>8V2360</t>
  </si>
  <si>
    <t>8V2500</t>
  </si>
  <si>
    <t>8V2650</t>
  </si>
  <si>
    <t>8V2800</t>
  </si>
  <si>
    <t>8V3000</t>
  </si>
  <si>
    <t>8V3150</t>
  </si>
  <si>
    <t>8V3350</t>
  </si>
  <si>
    <t>8V3550</t>
  </si>
  <si>
    <t>8V3750</t>
  </si>
  <si>
    <t>8V4000</t>
  </si>
  <si>
    <t>8V4250</t>
  </si>
  <si>
    <t>8V4500</t>
  </si>
  <si>
    <t>8V4750</t>
  </si>
  <si>
    <t>8V5000</t>
  </si>
  <si>
    <t>8V5600</t>
  </si>
  <si>
    <t>8VX1000</t>
  </si>
  <si>
    <t>8VX1060</t>
  </si>
  <si>
    <t>8VX1120</t>
  </si>
  <si>
    <t>8VX1180</t>
  </si>
  <si>
    <t>8VX1250</t>
  </si>
  <si>
    <t>8VX1320</t>
  </si>
  <si>
    <t>8VX1400</t>
  </si>
  <si>
    <t>8VX1500</t>
  </si>
  <si>
    <t>8VX1600</t>
  </si>
  <si>
    <t>8VX1700</t>
  </si>
  <si>
    <t>8VX1800</t>
  </si>
  <si>
    <t>8VX1900</t>
  </si>
  <si>
    <t>8VX2000</t>
  </si>
  <si>
    <t>BELT</t>
  </si>
  <si>
    <t>TYPE</t>
  </si>
  <si>
    <t>QTY</t>
  </si>
  <si>
    <t>Unit Cost</t>
  </si>
  <si>
    <t>TOTAL</t>
  </si>
  <si>
    <t>Model 1</t>
  </si>
  <si>
    <t>Model 2</t>
  </si>
  <si>
    <t>Not Used</t>
  </si>
  <si>
    <t xml:space="preserve">IKM Building Solutions, Inc. </t>
  </si>
  <si>
    <t>CHECKLIST FOR MULTI YEAR CONTRACTS</t>
  </si>
  <si>
    <t>Completed by</t>
  </si>
  <si>
    <t xml:space="preserve">Date </t>
  </si>
  <si>
    <t>Contract #</t>
  </si>
  <si>
    <t>Customer #/Name</t>
  </si>
  <si>
    <t>New contract</t>
  </si>
  <si>
    <t>Renewal</t>
  </si>
  <si>
    <t>Auto Renewal</t>
  </si>
  <si>
    <t>Contract Name</t>
  </si>
  <si>
    <t>New Location?</t>
  </si>
  <si>
    <t>Market Segment</t>
  </si>
  <si>
    <t>Start date</t>
  </si>
  <si>
    <t>End date</t>
  </si>
  <si>
    <t>Full Contract Amount</t>
  </si>
  <si>
    <t>Taxable</t>
  </si>
  <si>
    <t>Non-Taxable</t>
  </si>
  <si>
    <t>Payment terms clearly stated:</t>
  </si>
  <si>
    <t xml:space="preserve">Yr 1 </t>
  </si>
  <si>
    <t>Yr 2</t>
  </si>
  <si>
    <t xml:space="preserve">Yr 3 </t>
  </si>
  <si>
    <t>Time of Service - Approval from CFO required</t>
  </si>
  <si>
    <t>Scheduled</t>
  </si>
  <si>
    <t xml:space="preserve">Budget Costs: </t>
  </si>
  <si>
    <t>Labor</t>
  </si>
  <si>
    <t xml:space="preserve"> </t>
  </si>
  <si>
    <t>Material</t>
  </si>
  <si>
    <t xml:space="preserve">July </t>
  </si>
  <si>
    <t>Sept</t>
  </si>
  <si>
    <t>Nov</t>
  </si>
  <si>
    <r>
      <t xml:space="preserve">Billing Month(s) - Check boxes below </t>
    </r>
    <r>
      <rPr>
        <u/>
        <sz val="12"/>
        <color indexed="8"/>
        <rFont val="Calibri"/>
        <family val="2"/>
      </rPr>
      <t>(scheduled billings must be at least one month prior)</t>
    </r>
  </si>
  <si>
    <t>PO # (if applies)</t>
  </si>
  <si>
    <t>Copy of original contract signed by customer</t>
  </si>
  <si>
    <t>Dispatch Copies</t>
  </si>
  <si>
    <t>Job Instructions</t>
  </si>
  <si>
    <t xml:space="preserve">        Job Instruction Sheet</t>
  </si>
  <si>
    <t>Equipment List</t>
  </si>
  <si>
    <t>Special Rates/Rate Increases</t>
  </si>
  <si>
    <t>Price Classification</t>
  </si>
  <si>
    <t>(Office Use Only)</t>
  </si>
  <si>
    <t>New Contacts/Phone Numbers</t>
  </si>
  <si>
    <t>Email Address</t>
  </si>
  <si>
    <t>Preferred Tech</t>
  </si>
  <si>
    <t>Special Instructions</t>
  </si>
  <si>
    <t>Safety Considerations</t>
  </si>
  <si>
    <t>Approved By</t>
  </si>
  <si>
    <t>Reviewed By</t>
  </si>
  <si>
    <t>Department Manager Approval Required</t>
  </si>
  <si>
    <t>CHECKLIST FOR MAINTENANCE CONTRACTS</t>
  </si>
  <si>
    <t xml:space="preserve">New Location: </t>
  </si>
  <si>
    <t>Payment terms clearly stated</t>
  </si>
  <si>
    <t>Current renewal price breakdown:</t>
  </si>
  <si>
    <t>Contract amount: ____________</t>
  </si>
  <si>
    <t>Material ____________</t>
  </si>
  <si>
    <t>Location Name/Address</t>
  </si>
  <si>
    <t>Filled out by:</t>
  </si>
  <si>
    <t>Project Manager</t>
  </si>
  <si>
    <t>Project Coordinator</t>
  </si>
  <si>
    <t>Yr 4</t>
  </si>
  <si>
    <t xml:space="preserve">Yr 5 </t>
  </si>
  <si>
    <t>Contract Length</t>
  </si>
  <si>
    <t>1st Year</t>
  </si>
  <si>
    <t>2nd Year</t>
  </si>
  <si>
    <t>3rd Year</t>
  </si>
  <si>
    <t>4th Year</t>
  </si>
  <si>
    <t>5th Year</t>
  </si>
  <si>
    <t>Foreman</t>
  </si>
  <si>
    <t>Account Manager</t>
  </si>
  <si>
    <t>(ie. Crew mix, Lifts Required)</t>
  </si>
  <si>
    <t>Travel</t>
  </si>
  <si>
    <t>* Row count</t>
  </si>
  <si>
    <t>* Filter/Sort on type of Equipment</t>
  </si>
  <si>
    <t>Final Estimate Summary</t>
  </si>
  <si>
    <t>Adjustment</t>
  </si>
  <si>
    <t>Rates</t>
  </si>
  <si>
    <t>Field Labor</t>
  </si>
  <si>
    <t>Service Crew</t>
  </si>
  <si>
    <t>1st year</t>
  </si>
  <si>
    <t>4th year</t>
  </si>
  <si>
    <t xml:space="preserve">Tax &amp; W/C , GL add </t>
  </si>
  <si>
    <t xml:space="preserve"> - Foreman</t>
  </si>
  <si>
    <t xml:space="preserve"> - Journeyman </t>
  </si>
  <si>
    <t>Crew Rate:</t>
  </si>
  <si>
    <t>Remaining Balance (@ Default)</t>
  </si>
  <si>
    <t>Service Hours</t>
  </si>
  <si>
    <t>Subtotal Labor Hours</t>
  </si>
  <si>
    <t>Materials</t>
  </si>
  <si>
    <t>Amount</t>
  </si>
  <si>
    <t>Tax</t>
  </si>
  <si>
    <t xml:space="preserve"> *includes owner purchases</t>
  </si>
  <si>
    <t>County</t>
  </si>
  <si>
    <t>Calumet</t>
  </si>
  <si>
    <t>PLEASE SELECT CORRECT COUNTY FOR JOB LOCATION</t>
  </si>
  <si>
    <t>=</t>
  </si>
  <si>
    <t>Subtotal Materials</t>
  </si>
  <si>
    <t>Subcontracts</t>
  </si>
  <si>
    <t>Subtotal Subcontracts</t>
  </si>
  <si>
    <t>Subtotal</t>
  </si>
  <si>
    <t>Gross Margin</t>
  </si>
  <si>
    <t>Final Estimate</t>
  </si>
  <si>
    <t>Gross Margin, Adj. (%)</t>
  </si>
  <si>
    <t>FOR CEO/CFO USE ONLY</t>
  </si>
  <si>
    <t>Total Estimate:</t>
  </si>
  <si>
    <t>Grand Total</t>
  </si>
  <si>
    <t>Grand Total w/ CEO/CFO Adjustment</t>
  </si>
  <si>
    <t>Tax Rates</t>
  </si>
  <si>
    <t>Effective 1/1/24</t>
  </si>
  <si>
    <t>COUNTY</t>
  </si>
  <si>
    <t>STATE TAX</t>
  </si>
  <si>
    <t>COUNTY TAX RATE</t>
  </si>
  <si>
    <t>(EFFECTIVE DATE)</t>
  </si>
  <si>
    <t>CITY TAX RATE</t>
  </si>
  <si>
    <t>(CITY)</t>
  </si>
  <si>
    <t>CODE</t>
  </si>
  <si>
    <t>RATE</t>
  </si>
  <si>
    <t>Exempt</t>
  </si>
  <si>
    <t>(1/94)</t>
  </si>
  <si>
    <t>Adams</t>
  </si>
  <si>
    <t>Ashland</t>
  </si>
  <si>
    <t>(4/88)</t>
  </si>
  <si>
    <t>Barron</t>
  </si>
  <si>
    <t>(4/86)</t>
  </si>
  <si>
    <t>Bayfield</t>
  </si>
  <si>
    <t>(4/91)</t>
  </si>
  <si>
    <t>Brown</t>
  </si>
  <si>
    <t>(1/18)</t>
  </si>
  <si>
    <t>Buffalo</t>
  </si>
  <si>
    <t>(4/87)</t>
  </si>
  <si>
    <t>Burnett</t>
  </si>
  <si>
    <t>(4/89)</t>
  </si>
  <si>
    <t>(4/18)</t>
  </si>
  <si>
    <t>Chippewa</t>
  </si>
  <si>
    <t>Clark</t>
  </si>
  <si>
    <t>(1/09)</t>
  </si>
  <si>
    <t>Columbia</t>
  </si>
  <si>
    <t>Crawford</t>
  </si>
  <si>
    <t>Dane</t>
  </si>
  <si>
    <t>Dodge</t>
  </si>
  <si>
    <t>(4/94)</t>
  </si>
  <si>
    <t>Door</t>
  </si>
  <si>
    <t>Douglas</t>
  </si>
  <si>
    <t>Dunn</t>
  </si>
  <si>
    <t>Eau Claire</t>
  </si>
  <si>
    <t>(1/99)</t>
  </si>
  <si>
    <t>Florence</t>
  </si>
  <si>
    <t>(7/06)</t>
  </si>
  <si>
    <t>Fond du Lac</t>
  </si>
  <si>
    <t>(4/10)</t>
  </si>
  <si>
    <t>Forest</t>
  </si>
  <si>
    <t>(4/95)</t>
  </si>
  <si>
    <t>Grant</t>
  </si>
  <si>
    <t>(4/02)</t>
  </si>
  <si>
    <t>Green</t>
  </si>
  <si>
    <t>(1/03)</t>
  </si>
  <si>
    <t>Green Lake</t>
  </si>
  <si>
    <t>(7/99)</t>
  </si>
  <si>
    <t>Iowa</t>
  </si>
  <si>
    <t>Iron</t>
  </si>
  <si>
    <t>Jackson</t>
  </si>
  <si>
    <t>Jefferson</t>
  </si>
  <si>
    <t>Juneau</t>
  </si>
  <si>
    <t>(4/92)</t>
  </si>
  <si>
    <t>Kenosha</t>
  </si>
  <si>
    <t>Kewaunee</t>
  </si>
  <si>
    <t>(4/17)</t>
  </si>
  <si>
    <t>La Crosse</t>
  </si>
  <si>
    <t>(4/90)</t>
  </si>
  <si>
    <t>Lafayette</t>
  </si>
  <si>
    <t>(4/01)</t>
  </si>
  <si>
    <t>Langlade</t>
  </si>
  <si>
    <t>Lincoln</t>
  </si>
  <si>
    <t>Manitowoc</t>
  </si>
  <si>
    <t>Marathon</t>
  </si>
  <si>
    <t>Marinette</t>
  </si>
  <si>
    <t>(10/01)</t>
  </si>
  <si>
    <t>Marquette</t>
  </si>
  <si>
    <t>Menominee</t>
  </si>
  <si>
    <t>(4/20)</t>
  </si>
  <si>
    <t>Milwaukee</t>
  </si>
  <si>
    <t>(1/24)</t>
  </si>
  <si>
    <t>     (City of Milwaukee)*</t>
  </si>
  <si>
    <t>Milwaukee (City of Milwaukee)*</t>
  </si>
  <si>
    <t>Monroe</t>
  </si>
  <si>
    <t>Oconto</t>
  </si>
  <si>
    <t>(7/94)</t>
  </si>
  <si>
    <t>Oneida</t>
  </si>
  <si>
    <t>Outagamie</t>
  </si>
  <si>
    <t>(1/20)</t>
  </si>
  <si>
    <t>Ozaukee</t>
  </si>
  <si>
    <t>Pepin</t>
  </si>
  <si>
    <t>Pierce</t>
  </si>
  <si>
    <t>Polk</t>
  </si>
  <si>
    <t>Portage</t>
  </si>
  <si>
    <t>Price</t>
  </si>
  <si>
    <t>(1/93)</t>
  </si>
  <si>
    <t>Racine</t>
  </si>
  <si>
    <t>Richland</t>
  </si>
  <si>
    <t>Rock</t>
  </si>
  <si>
    <t>(4/07)</t>
  </si>
  <si>
    <t>Rusk</t>
  </si>
  <si>
    <t>St. Croix</t>
  </si>
  <si>
    <t>Sauk</t>
  </si>
  <si>
    <t>Sawyer</t>
  </si>
  <si>
    <t>Shawano</t>
  </si>
  <si>
    <t>Sheboygan</t>
  </si>
  <si>
    <t>(1/17)</t>
  </si>
  <si>
    <t>Taylor</t>
  </si>
  <si>
    <t>Trempealeau</t>
  </si>
  <si>
    <t>(10/95)</t>
  </si>
  <si>
    <t>Vernon</t>
  </si>
  <si>
    <t>(1/97)</t>
  </si>
  <si>
    <t>Vilas</t>
  </si>
  <si>
    <t>Walworth</t>
  </si>
  <si>
    <t>Washburn</t>
  </si>
  <si>
    <t>Washington</t>
  </si>
  <si>
    <t>Waukesha</t>
  </si>
  <si>
    <t>Waupaca</t>
  </si>
  <si>
    <t>Waushara</t>
  </si>
  <si>
    <t>Winnebago</t>
  </si>
  <si>
    <t>Wood</t>
  </si>
  <si>
    <t>(1/04)</t>
  </si>
  <si>
    <t>Filter Change</t>
  </si>
  <si>
    <t>normally hidden</t>
  </si>
  <si>
    <t xml:space="preserve"> - Crew Rate</t>
  </si>
  <si>
    <t>Planned Maintenance Labor</t>
  </si>
  <si>
    <t>Coil Cleaning Labor</t>
  </si>
  <si>
    <t>Filter Change Labor</t>
  </si>
  <si>
    <t>Branch</t>
  </si>
  <si>
    <t>Green Bay</t>
  </si>
  <si>
    <t>Branches</t>
  </si>
  <si>
    <t>Madison</t>
  </si>
  <si>
    <t>Wage Increase</t>
  </si>
  <si>
    <t>Steam Fitting</t>
  </si>
  <si>
    <t>Service</t>
  </si>
  <si>
    <t>Shift Pay</t>
  </si>
  <si>
    <t>Overtime (Time and a Half)</t>
  </si>
  <si>
    <t>Overtime (Double)</t>
  </si>
  <si>
    <t>Travel Pay</t>
  </si>
  <si>
    <t>Sheet Metal</t>
  </si>
  <si>
    <t>Superintendent</t>
  </si>
  <si>
    <t>Service Field</t>
  </si>
  <si>
    <t>Starting Month</t>
  </si>
  <si>
    <t>Filter Change Schedule</t>
  </si>
  <si>
    <t>IKM Building Solutions-Service</t>
  </si>
  <si>
    <t>COIL CLEAN</t>
  </si>
  <si>
    <t>FILTER CHANGE</t>
  </si>
  <si>
    <t>February</t>
  </si>
  <si>
    <t>Override $$</t>
  </si>
  <si>
    <t>Override $</t>
  </si>
  <si>
    <t>Filter QTY per Unit</t>
  </si>
  <si>
    <t>Date Updated:</t>
  </si>
  <si>
    <t xml:space="preserve">Date Updated: </t>
  </si>
  <si>
    <t>00-PKG-01a - Packaged AC (Cooling Only)</t>
  </si>
  <si>
    <t>00-PKG-01b - Packaged AC (with Gas Heating)</t>
  </si>
  <si>
    <t>00-PKG-01c - Packaged AC (Other Heating)</t>
  </si>
  <si>
    <t>00-PKG-02a - Packaged WC (Cooling Only)</t>
  </si>
  <si>
    <t>00-PKG-02b - Packaged WC (with Gas Heating)</t>
  </si>
  <si>
    <t>00-PKG-02c - Packaged WC (Other Heating)</t>
  </si>
  <si>
    <t>00-PKG-03a - Packaged Heat Pump-AC (All)</t>
  </si>
  <si>
    <t>00-PKG-03b - Packaged Heat Pump-WC (All)</t>
  </si>
  <si>
    <t>00-PKG-04 - Packaged- Evap Cond (All Styles)</t>
  </si>
  <si>
    <t>00-PKG-05 - PTAC</t>
  </si>
  <si>
    <t>01-SPLIT-AHU-01 - Split DX- AHU (Cooling Only)</t>
  </si>
  <si>
    <t>01-SPLIT-AHU-02 - Split DX- AHU (with Gas Furnace)</t>
  </si>
  <si>
    <t>01-SPLIT-AHU-03 - Split DX- AHU (Other Heating)</t>
  </si>
  <si>
    <t>01-SPLIT-CU-01 - Split DX- Cond Unit (AC)</t>
  </si>
  <si>
    <t>01-SPLIT-CU-02 - Split DX- Cond Unit (WC)</t>
  </si>
  <si>
    <t>01-SPLIT-CU-03 - Split DX- Cond Unit (Heat Pump)</t>
  </si>
  <si>
    <t>01-SPLIT-FUR-01 - Split DX- AHU (with Gas Furnace)-Residential</t>
  </si>
  <si>
    <t>01-SPLIT-FUR-02 - Split DX- AHU (with Oil Furnace)-Residential</t>
  </si>
  <si>
    <t>05-COMP-RM-01 - CRAC (Split DX-AC)</t>
  </si>
  <si>
    <t>05-COMP-RM-02 - CRAC (WC)</t>
  </si>
  <si>
    <t>05-COMP-RM-05 - CRAH</t>
  </si>
  <si>
    <t>05-COND-01 - Condensers without Compressors and Dry-Coolers</t>
  </si>
  <si>
    <t>05-WSHP-01 - Water Source Heat Pumps</t>
  </si>
  <si>
    <t>07-VRF-01 - VRF- Indoor</t>
  </si>
  <si>
    <t>07-VRF-05 - VRF- Outdoor</t>
  </si>
  <si>
    <t>10-AHU-01 - AHU (with Chilled Water)</t>
  </si>
  <si>
    <t>10-AHU-03 - AHU-Evap Cooling (Swamp Cooler)</t>
  </si>
  <si>
    <t>10-AHU-05 - Fan-Coil</t>
  </si>
  <si>
    <t>10-AHU-10 - AHU with Energy Recovery (all kinds)</t>
  </si>
  <si>
    <t>10-AHU-15 - AHU-Heating and OA Ventilating (no cooling)</t>
  </si>
  <si>
    <t>12-COIL-01 - Coil- Cooling (DX)</t>
  </si>
  <si>
    <t>12-COIL-02 - Coil- Cooling (Chilled Water)</t>
  </si>
  <si>
    <t>12-COIL-07 - Coil- Heating (Electric)</t>
  </si>
  <si>
    <t>12-COIL-08 - Coil- Heating (Hot-Water or Steam)</t>
  </si>
  <si>
    <t>14-VAV-01 - VAV</t>
  </si>
  <si>
    <t>14-VAV-FP-01 - VAV- Fan Powered</t>
  </si>
  <si>
    <t>16-AIR-CLNR-01 - Air Cleaner (Filter- Media)</t>
  </si>
  <si>
    <t>16-AIR-CLNR-20 - Air Cleaner (Filter- Electronic)</t>
  </si>
  <si>
    <t>16-AIR-CLNR-30 - Air Cleaner (Other)</t>
  </si>
  <si>
    <t>20-DEHUMID-01 - Dehumidifier (Residential)</t>
  </si>
  <si>
    <t>20-HUMID-01 - Humidifier</t>
  </si>
  <si>
    <t>30-CHLR-01 - Chiller- Absorber</t>
  </si>
  <si>
    <t>30-CHLR-20 - Chiller- AC Packaged</t>
  </si>
  <si>
    <t>30-CHLR-21 - Chiller- AC Split</t>
  </si>
  <si>
    <t>30-CHLR-40 - Chiller- WC (Centrifugal)</t>
  </si>
  <si>
    <t>30-CHLR-45 - Chiller- WC (Other)</t>
  </si>
  <si>
    <t>35-COOL-TWR-01 - Cooling Tower</t>
  </si>
  <si>
    <t>35-HX-01 - Heat Exchanger - Plate and Frame</t>
  </si>
  <si>
    <t>35-HX-02 - Heat Exchanger - Shell and Tube</t>
  </si>
  <si>
    <t>35-WFLTR-01 - Water Filter</t>
  </si>
  <si>
    <t>35-WTRSYS-CHW - Water System (Chilled Water Loop)</t>
  </si>
  <si>
    <t>35-WTRSYS-CNDSR-CLSD - Water System (Condenser Water-Closed Loop)</t>
  </si>
  <si>
    <t>35-WTRSYS-CNDSR-OPEN - Water System (Condenser Water-Open Loop)</t>
  </si>
  <si>
    <t>35-WTRSYS-HW - Water System (Heating Hot-Water Loop)</t>
  </si>
  <si>
    <t>35-WTRSYS-STM - Water System (Steam and Condensate Systems)</t>
  </si>
  <si>
    <t>40-CLN-SUPP - Clean Agent Suppression System</t>
  </si>
  <si>
    <t>40-ELIGHT-01 - Emergency Lights</t>
  </si>
  <si>
    <t>40-EXTIN-01 - Fire Extinguisher (All)</t>
  </si>
  <si>
    <t>40-FAS-01 - Fire Alarm System</t>
  </si>
  <si>
    <t>40-FDOOR-01 - Fire Doors-All Ratings</t>
  </si>
  <si>
    <t>40-FHOOD-01 - Fire Suppression Hood</t>
  </si>
  <si>
    <t>40-FPUMP-01 - Fire Pump</t>
  </si>
  <si>
    <t>40-SPK-DRY - Sprinkler System - Dry</t>
  </si>
  <si>
    <t>40-SPK-PRE - Sprinkler System - PreAction</t>
  </si>
  <si>
    <t>40-SPK-WET - Sprinkler System - Wet</t>
  </si>
  <si>
    <t>40-VESDA-01 - Vesda Smoke Detection System</t>
  </si>
  <si>
    <t>50-BLR-01 - Boiler- Hot Water (Electric)</t>
  </si>
  <si>
    <t>50-BLR-02 - Boiler- Hot Water (Gas)</t>
  </si>
  <si>
    <t>50-BLR-03 - Boiler- Hot Water (Oil-Dual)</t>
  </si>
  <si>
    <t>50-BLR-04 - Boiler- Steam (Electric)</t>
  </si>
  <si>
    <t>50-BLR-05 - Boiler- Steam (Gas)</t>
  </si>
  <si>
    <t>50-BLR-06 - Boiler- Steam (Oil-Dual)</t>
  </si>
  <si>
    <t>55-UH-01 - Unit Heater (Electric)</t>
  </si>
  <si>
    <t>55-UH-02 - Unit Heater (Gas)</t>
  </si>
  <si>
    <t>55-UH-03 - Unit Heater (Hot Water)</t>
  </si>
  <si>
    <t>55-UH-20 - Baseboard (Electric)</t>
  </si>
  <si>
    <t>55-UH-21 - Baseboard (Hot Water or Steam)</t>
  </si>
  <si>
    <t>57-DHW-01 - Domestic Hot Water Heater (Tank)</t>
  </si>
  <si>
    <t>57-DHW-02 - Domestic Hot Water Heater (Tankless)</t>
  </si>
  <si>
    <t>57-EX-TANK - Expansion Tank</t>
  </si>
  <si>
    <t>60-FAN-01 - Fan- Major (Larger Stand Alone)</t>
  </si>
  <si>
    <t>60-FAN-02 - Fan- Minor (Other)</t>
  </si>
  <si>
    <t>60-FAN-20 - Fan (Vane Axial)</t>
  </si>
  <si>
    <t>60-PUMP-01 - Pump</t>
  </si>
  <si>
    <t>60-PUMP-20 - Pump (Sewage and Sump)</t>
  </si>
  <si>
    <t>65-PLUM-BFP - Backflow Preventer</t>
  </si>
  <si>
    <t>70-CTRLS-01 - Controls</t>
  </si>
  <si>
    <t>70-CTRLS-10 - Variable Frequency-Speed Drive (VFD)</t>
  </si>
  <si>
    <t>75-ACOMP-01 - Air Compressor</t>
  </si>
  <si>
    <t>75-ACOMP-05 - Air Compressed (Dryer)</t>
  </si>
  <si>
    <t>77-METER-E-01 - Meter (Electric)</t>
  </si>
  <si>
    <t>77-METER-NG-01 - Meter (Natural Gas)</t>
  </si>
  <si>
    <t>77-METER-W-01 - Meter (Water)</t>
  </si>
  <si>
    <t>80-REFRIG-01 - Refrigerator or Freezer</t>
  </si>
  <si>
    <t>80-REFRIG-02 - Ice Machine</t>
  </si>
  <si>
    <t>80-REFRIG-10 - Refrig- Condenser</t>
  </si>
  <si>
    <t>80-REFRIG-12 - Refrig- Evaporator</t>
  </si>
  <si>
    <t>80-REFRIG-15 - Refrig- Other</t>
  </si>
  <si>
    <t>80-REFRIG-20 - Environmental Chamber</t>
  </si>
  <si>
    <t>80-REFRIG-30 - Refrigerant Monitors</t>
  </si>
  <si>
    <t>90-ELEC-GEN-01 - Electrical- Generator</t>
  </si>
  <si>
    <t>90-ELEC-MISC-01 - Electrical- Distribution Panel</t>
  </si>
  <si>
    <t>90-ELEC-MISC-20 - Electrical- Power Distribution Unit</t>
  </si>
  <si>
    <t>90-ELEC-MISC-21 - Electric- Rack Distribution Unit</t>
  </si>
  <si>
    <t>90-ELEC-MISC-22 - Electric- Uninterruptible Power Supply</t>
  </si>
  <si>
    <t>90-ELEC-MISC-23 - Electrical- Transformer</t>
  </si>
  <si>
    <t>90-ELEC-MISC-24 - Automatic Transfer Switch (ATS)</t>
  </si>
  <si>
    <t>90-ELEC-MISC-25 - Paralleling Switch Gear</t>
  </si>
  <si>
    <t>95-SOLPV-INVERTER - Solar PV (Inverter)</t>
  </si>
  <si>
    <t>95-SOLPV-PANEL-01 - Solar PV Panels (Stationary)</t>
  </si>
  <si>
    <t>99-OTH-001 - Other-Major</t>
  </si>
  <si>
    <t>99-OTH-002 - Other- Minor</t>
  </si>
  <si>
    <t>Belt QTY per Unit</t>
  </si>
  <si>
    <t xml:space="preserve">Filter Frequency: </t>
  </si>
  <si>
    <t>Enter Hours</t>
  </si>
  <si>
    <r>
      <t xml:space="preserve">List </t>
    </r>
    <r>
      <rPr>
        <b/>
        <u/>
        <sz val="12"/>
        <color rgb="FFFF0000"/>
        <rFont val="Calibri"/>
        <family val="2"/>
        <scheme val="minor"/>
      </rPr>
      <t>Coil Cleaning</t>
    </r>
    <r>
      <rPr>
        <b/>
        <u/>
        <sz val="12"/>
        <color theme="1"/>
        <rFont val="Calibri"/>
        <family val="2"/>
        <scheme val="minor"/>
      </rPr>
      <t xml:space="preserve"> Hours Below By Month:</t>
    </r>
  </si>
  <si>
    <r>
      <t xml:space="preserve">List </t>
    </r>
    <r>
      <rPr>
        <b/>
        <u/>
        <sz val="12"/>
        <color rgb="FFFF0000"/>
        <rFont val="Calibri"/>
        <family val="2"/>
        <scheme val="minor"/>
      </rPr>
      <t>Inspection</t>
    </r>
    <r>
      <rPr>
        <b/>
        <u/>
        <sz val="12"/>
        <color theme="1"/>
        <rFont val="Calibri"/>
        <family val="2"/>
        <scheme val="minor"/>
      </rPr>
      <t xml:space="preserve"> Hours Below By Month:</t>
    </r>
  </si>
  <si>
    <t>Total Hrs</t>
  </si>
  <si>
    <t>Getting Started</t>
  </si>
  <si>
    <r>
      <t>1)</t>
    </r>
    <r>
      <rPr>
        <sz val="7"/>
        <rFont val="Times New Roman"/>
        <family val="1"/>
      </rPr>
      <t xml:space="preserve">      </t>
    </r>
    <r>
      <rPr>
        <sz val="12"/>
        <rFont val="Aptos"/>
        <family val="2"/>
      </rPr>
      <t>Start on the single year booking sheet.  Fill out the following items.  These will automatically populate on other tabs</t>
    </r>
  </si>
  <si>
    <r>
      <t>a)</t>
    </r>
    <r>
      <rPr>
        <sz val="7"/>
        <rFont val="Times New Roman"/>
        <family val="1"/>
      </rPr>
      <t xml:space="preserve">      </t>
    </r>
    <r>
      <rPr>
        <sz val="12"/>
        <rFont val="Aptos"/>
        <family val="2"/>
      </rPr>
      <t>Completed By</t>
    </r>
  </si>
  <si>
    <r>
      <t>b)</t>
    </r>
    <r>
      <rPr>
        <sz val="7"/>
        <rFont val="Times New Roman"/>
        <family val="1"/>
      </rPr>
      <t xml:space="preserve">     </t>
    </r>
    <r>
      <rPr>
        <sz val="12"/>
        <rFont val="Aptos"/>
        <family val="2"/>
      </rPr>
      <t>Date</t>
    </r>
  </si>
  <si>
    <r>
      <t>c)</t>
    </r>
    <r>
      <rPr>
        <sz val="7"/>
        <rFont val="Times New Roman"/>
        <family val="1"/>
      </rPr>
      <t xml:space="preserve">      </t>
    </r>
    <r>
      <rPr>
        <sz val="12"/>
        <rFont val="Aptos"/>
        <family val="2"/>
      </rPr>
      <t>Account Manager</t>
    </r>
  </si>
  <si>
    <r>
      <t>d)</t>
    </r>
    <r>
      <rPr>
        <sz val="7"/>
        <rFont val="Times New Roman"/>
        <family val="1"/>
      </rPr>
      <t xml:space="preserve">     </t>
    </r>
    <r>
      <rPr>
        <sz val="12"/>
        <rFont val="Aptos"/>
        <family val="2"/>
      </rPr>
      <t>Customer # / Name (this is the BILL TO customer)</t>
    </r>
  </si>
  <si>
    <r>
      <t>e)</t>
    </r>
    <r>
      <rPr>
        <sz val="7"/>
        <rFont val="Times New Roman"/>
        <family val="1"/>
      </rPr>
      <t xml:space="preserve">      </t>
    </r>
    <r>
      <rPr>
        <sz val="12"/>
        <rFont val="Aptos"/>
        <family val="2"/>
      </rPr>
      <t>Contract Name</t>
    </r>
  </si>
  <si>
    <r>
      <t>f)</t>
    </r>
    <r>
      <rPr>
        <sz val="7"/>
        <rFont val="Times New Roman"/>
        <family val="1"/>
      </rPr>
      <t xml:space="preserve">        </t>
    </r>
    <r>
      <rPr>
        <sz val="12"/>
        <rFont val="Aptos"/>
        <family val="2"/>
      </rPr>
      <t>Location Name/Address (Example: MPI Wright LLC PMA-2024 or MPI Wright LLC Full Maintenance PMA-2024)</t>
    </r>
  </si>
  <si>
    <r>
      <t>g)</t>
    </r>
    <r>
      <rPr>
        <sz val="7"/>
        <rFont val="Times New Roman"/>
        <family val="1"/>
      </rPr>
      <t xml:space="preserve">      </t>
    </r>
    <r>
      <rPr>
        <sz val="12"/>
        <rFont val="Aptos"/>
        <family val="2"/>
      </rPr>
      <t>Contract number, if known</t>
    </r>
  </si>
  <si>
    <t>Booking Sheet</t>
  </si>
  <si>
    <r>
      <t>1)</t>
    </r>
    <r>
      <rPr>
        <sz val="7"/>
        <rFont val="Times New Roman"/>
        <family val="1"/>
      </rPr>
      <t xml:space="preserve">      </t>
    </r>
    <r>
      <rPr>
        <sz val="12"/>
        <rFont val="Aptos"/>
        <family val="2"/>
      </rPr>
      <t>All ORANGE Cells MUST be filled in by the Project Manager. All BLUE Cells will be filled out by the Project Coordinator.</t>
    </r>
  </si>
  <si>
    <r>
      <t>2)</t>
    </r>
    <r>
      <rPr>
        <sz val="7"/>
        <rFont val="Times New Roman"/>
        <family val="1"/>
      </rPr>
      <t xml:space="preserve">      </t>
    </r>
    <r>
      <rPr>
        <sz val="12"/>
        <rFont val="Aptos"/>
        <family val="2"/>
      </rPr>
      <t>Determine if contract is single year or multi year and use the appropriate tab for the remaining steps.</t>
    </r>
  </si>
  <si>
    <r>
      <t>3)</t>
    </r>
    <r>
      <rPr>
        <sz val="7"/>
        <rFont val="Times New Roman"/>
        <family val="1"/>
      </rPr>
      <t xml:space="preserve">      </t>
    </r>
    <r>
      <rPr>
        <sz val="12"/>
        <rFont val="Aptos"/>
        <family val="2"/>
      </rPr>
      <t>Check the corresponding check box if the PMA is New, Renewal or Auto-Renewal.</t>
    </r>
  </si>
  <si>
    <r>
      <t>4)</t>
    </r>
    <r>
      <rPr>
        <sz val="7"/>
        <rFont val="Times New Roman"/>
        <family val="1"/>
      </rPr>
      <t xml:space="preserve">      </t>
    </r>
    <r>
      <rPr>
        <sz val="12"/>
        <rFont val="Aptos"/>
        <family val="2"/>
      </rPr>
      <t>Select Market Segment (drop down)</t>
    </r>
  </si>
  <si>
    <r>
      <t>a)</t>
    </r>
    <r>
      <rPr>
        <sz val="7"/>
        <rFont val="Times New Roman"/>
        <family val="1"/>
      </rPr>
      <t xml:space="preserve">      </t>
    </r>
  </si>
  <si>
    <r>
      <t>5)</t>
    </r>
    <r>
      <rPr>
        <sz val="7"/>
        <rFont val="Times New Roman"/>
        <family val="1"/>
      </rPr>
      <t xml:space="preserve">      </t>
    </r>
    <r>
      <rPr>
        <sz val="12"/>
        <rFont val="Aptos"/>
        <family val="2"/>
      </rPr>
      <t>Enter the start date of contract term.</t>
    </r>
  </si>
  <si>
    <r>
      <t>a)</t>
    </r>
    <r>
      <rPr>
        <i/>
        <sz val="7"/>
        <rFont val="Times New Roman"/>
        <family val="1"/>
      </rPr>
      <t xml:space="preserve">      </t>
    </r>
    <r>
      <rPr>
        <i/>
        <sz val="12"/>
        <rFont val="Aptos"/>
        <family val="2"/>
      </rPr>
      <t xml:space="preserve">Single Year: </t>
    </r>
    <r>
      <rPr>
        <sz val="12"/>
        <rFont val="Aptos"/>
        <family val="2"/>
      </rPr>
      <t>The end date will auto populate for 364 days later</t>
    </r>
  </si>
  <si>
    <r>
      <t>i)</t>
    </r>
    <r>
      <rPr>
        <sz val="7"/>
        <rFont val="Times New Roman"/>
        <family val="1"/>
      </rPr>
      <t xml:space="preserve">        </t>
    </r>
  </si>
  <si>
    <r>
      <t>i)</t>
    </r>
    <r>
      <rPr>
        <i/>
        <sz val="7"/>
        <rFont val="Times New Roman"/>
        <family val="1"/>
      </rPr>
      <t xml:space="preserve">        </t>
    </r>
  </si>
  <si>
    <r>
      <t>a)</t>
    </r>
    <r>
      <rPr>
        <sz val="7"/>
        <rFont val="Times New Roman"/>
        <family val="1"/>
      </rPr>
      <t xml:space="preserve">      </t>
    </r>
    <r>
      <rPr>
        <sz val="12"/>
        <rFont val="Aptos"/>
        <family val="2"/>
      </rPr>
      <t>Note: IF you check to use Time of Service billing is is REQUIRED to have approval from the CFO.</t>
    </r>
  </si>
  <si>
    <r>
      <t>7)</t>
    </r>
    <r>
      <rPr>
        <sz val="7"/>
        <rFont val="Times New Roman"/>
        <family val="1"/>
      </rPr>
      <t xml:space="preserve">      </t>
    </r>
    <r>
      <rPr>
        <sz val="12"/>
        <rFont val="Aptos"/>
        <family val="2"/>
      </rPr>
      <t>Check the box whether the Customer is Taxable or Non-Taxable.</t>
    </r>
  </si>
  <si>
    <r>
      <t>8)</t>
    </r>
    <r>
      <rPr>
        <sz val="7"/>
        <rFont val="Times New Roman"/>
        <family val="1"/>
      </rPr>
      <t xml:space="preserve">      </t>
    </r>
    <r>
      <rPr>
        <sz val="12"/>
        <rFont val="Aptos"/>
        <family val="2"/>
      </rPr>
      <t>Budget Costs, inspection hours and coil cleaning hours will auto populate based on the equipment list entries.  Review to make sure they are correct.</t>
    </r>
  </si>
  <si>
    <r>
      <t>10)</t>
    </r>
    <r>
      <rPr>
        <sz val="7"/>
        <rFont val="Times New Roman"/>
        <family val="1"/>
      </rPr>
      <t xml:space="preserve"> </t>
    </r>
    <r>
      <rPr>
        <sz val="12"/>
        <rFont val="Aptos"/>
        <family val="2"/>
      </rPr>
      <t>Coil Cleaning hours populate in the corresponding months and automatically transfer to the booking form from the Equipment Tab depending on the months you delegate for cleaning.</t>
    </r>
  </si>
  <si>
    <r>
      <t>12)</t>
    </r>
    <r>
      <rPr>
        <sz val="7"/>
        <rFont val="Times New Roman"/>
        <family val="1"/>
      </rPr>
      <t xml:space="preserve"> </t>
    </r>
    <r>
      <rPr>
        <sz val="12"/>
        <rFont val="Aptos"/>
        <family val="2"/>
      </rPr>
      <t>Corresponding PMA Documentation &amp; Clarifications</t>
    </r>
  </si>
  <si>
    <r>
      <t>a)</t>
    </r>
    <r>
      <rPr>
        <sz val="7"/>
        <rFont val="Times New Roman"/>
        <family val="1"/>
      </rPr>
      <t xml:space="preserve">      </t>
    </r>
    <r>
      <rPr>
        <sz val="12"/>
        <rFont val="Aptos"/>
        <family val="2"/>
      </rPr>
      <t>Check the box for the contract having been signed by the customer.</t>
    </r>
  </si>
  <si>
    <r>
      <t>b)</t>
    </r>
    <r>
      <rPr>
        <sz val="7"/>
        <rFont val="Times New Roman"/>
        <family val="1"/>
      </rPr>
      <t xml:space="preserve">     </t>
    </r>
    <r>
      <rPr>
        <sz val="12"/>
        <rFont val="Aptos"/>
        <family val="2"/>
      </rPr>
      <t>Check all the boxes that correlate with the PMA (i.e Job Instructions, Equipment Lists and any other Dispatch Copies)</t>
    </r>
  </si>
  <si>
    <r>
      <t>e)</t>
    </r>
    <r>
      <rPr>
        <sz val="7"/>
        <rFont val="Times New Roman"/>
        <family val="1"/>
      </rPr>
      <t xml:space="preserve">      </t>
    </r>
    <r>
      <rPr>
        <sz val="12"/>
        <rFont val="Aptos"/>
        <family val="2"/>
      </rPr>
      <t>Add any NEW Contacts and the contact information.</t>
    </r>
  </si>
  <si>
    <r>
      <t>f)</t>
    </r>
    <r>
      <rPr>
        <sz val="7"/>
        <rFont val="Times New Roman"/>
        <family val="1"/>
      </rPr>
      <t xml:space="preserve">        </t>
    </r>
    <r>
      <rPr>
        <sz val="12"/>
        <rFont val="Aptos"/>
        <family val="2"/>
      </rPr>
      <t>List who the Preferred Technician is.</t>
    </r>
  </si>
  <si>
    <r>
      <t>13)</t>
    </r>
    <r>
      <rPr>
        <sz val="7"/>
        <rFont val="Times New Roman"/>
        <family val="1"/>
      </rPr>
      <t xml:space="preserve"> </t>
    </r>
    <r>
      <rPr>
        <sz val="12"/>
        <rFont val="Aptos"/>
        <family val="2"/>
      </rPr>
      <t>Special Instructions &amp; Safety Clarifications:</t>
    </r>
  </si>
  <si>
    <r>
      <t>a)</t>
    </r>
    <r>
      <rPr>
        <sz val="7"/>
        <rFont val="Times New Roman"/>
        <family val="1"/>
      </rPr>
      <t xml:space="preserve">      </t>
    </r>
    <r>
      <rPr>
        <sz val="12"/>
        <rFont val="Aptos"/>
        <family val="2"/>
      </rPr>
      <t>These sections are not mandatory, but any special notes or clarifications and safety considerations SHOULD BE LISTED!</t>
    </r>
  </si>
  <si>
    <r>
      <t>14)</t>
    </r>
    <r>
      <rPr>
        <sz val="7"/>
        <rFont val="Times New Roman"/>
        <family val="1"/>
      </rPr>
      <t xml:space="preserve"> </t>
    </r>
    <r>
      <rPr>
        <sz val="12"/>
        <rFont val="Aptos"/>
        <family val="2"/>
      </rPr>
      <t>Approved By &amp; Reviewed By Signatures:</t>
    </r>
  </si>
  <si>
    <r>
      <t>a)</t>
    </r>
    <r>
      <rPr>
        <sz val="7"/>
        <rFont val="Times New Roman"/>
        <family val="1"/>
      </rPr>
      <t xml:space="preserve">      </t>
    </r>
    <r>
      <rPr>
        <sz val="12"/>
        <rFont val="Aptos"/>
        <family val="2"/>
      </rPr>
      <t>Approved By Signature automatically populates from the Completed By section at the beginning of the booking form.</t>
    </r>
  </si>
  <si>
    <r>
      <t>b)</t>
    </r>
    <r>
      <rPr>
        <sz val="7"/>
        <rFont val="Times New Roman"/>
        <family val="1"/>
      </rPr>
      <t xml:space="preserve">     </t>
    </r>
    <r>
      <rPr>
        <sz val="12"/>
        <rFont val="Aptos"/>
        <family val="2"/>
      </rPr>
      <t>Reviewed By Signature is REQUIRED from the Department Manager.</t>
    </r>
  </si>
  <si>
    <r>
      <t>1)</t>
    </r>
    <r>
      <rPr>
        <sz val="7"/>
        <rFont val="Times New Roman"/>
        <family val="1"/>
      </rPr>
      <t xml:space="preserve">      </t>
    </r>
    <r>
      <rPr>
        <sz val="12"/>
        <rFont val="Aptos"/>
        <family val="2"/>
      </rPr>
      <t>Enter asset information including the following:  (Note: this must be accurate as it goes into the PMA proposal and into Coins)</t>
    </r>
  </si>
  <si>
    <r>
      <t>a)</t>
    </r>
    <r>
      <rPr>
        <sz val="7"/>
        <rFont val="Times New Roman"/>
        <family val="1"/>
      </rPr>
      <t xml:space="preserve">      </t>
    </r>
    <r>
      <rPr>
        <sz val="12"/>
        <rFont val="Aptos"/>
        <family val="2"/>
      </rPr>
      <t>Qty (Quantity)</t>
    </r>
  </si>
  <si>
    <r>
      <t>b)</t>
    </r>
    <r>
      <rPr>
        <sz val="7"/>
        <rFont val="Times New Roman"/>
        <family val="1"/>
      </rPr>
      <t xml:space="preserve">     </t>
    </r>
    <r>
      <rPr>
        <sz val="12"/>
        <rFont val="Aptos"/>
        <family val="2"/>
      </rPr>
      <t>Asset Type &amp; Description (Note: these have updated from what they were before based on changes in Coins)</t>
    </r>
  </si>
  <si>
    <r>
      <t>c)</t>
    </r>
    <r>
      <rPr>
        <sz val="7"/>
        <rFont val="Times New Roman"/>
        <family val="1"/>
      </rPr>
      <t xml:space="preserve">      </t>
    </r>
    <r>
      <rPr>
        <sz val="12"/>
        <rFont val="Aptos"/>
        <family val="2"/>
      </rPr>
      <t>Mfg (Manufacturer)</t>
    </r>
  </si>
  <si>
    <r>
      <t>d)</t>
    </r>
    <r>
      <rPr>
        <sz val="7"/>
        <rFont val="Times New Roman"/>
        <family val="1"/>
      </rPr>
      <t xml:space="preserve">     </t>
    </r>
    <r>
      <rPr>
        <sz val="12"/>
        <rFont val="Aptos"/>
        <family val="2"/>
      </rPr>
      <t>Model</t>
    </r>
  </si>
  <si>
    <r>
      <t>e)</t>
    </r>
    <r>
      <rPr>
        <sz val="7"/>
        <rFont val="Times New Roman"/>
        <family val="1"/>
      </rPr>
      <t xml:space="preserve">      </t>
    </r>
    <r>
      <rPr>
        <sz val="12"/>
        <rFont val="Aptos"/>
        <family val="2"/>
      </rPr>
      <t>SN (Serial Number)</t>
    </r>
  </si>
  <si>
    <r>
      <t>f)</t>
    </r>
    <r>
      <rPr>
        <sz val="7"/>
        <rFont val="Times New Roman"/>
        <family val="1"/>
      </rPr>
      <t xml:space="preserve">        </t>
    </r>
    <r>
      <rPr>
        <sz val="12"/>
        <rFont val="Aptos"/>
        <family val="2"/>
      </rPr>
      <t>Size</t>
    </r>
  </si>
  <si>
    <r>
      <t>g)</t>
    </r>
    <r>
      <rPr>
        <sz val="7"/>
        <rFont val="Times New Roman"/>
        <family val="1"/>
      </rPr>
      <t xml:space="preserve">      </t>
    </r>
    <r>
      <rPr>
        <sz val="12"/>
        <rFont val="Aptos"/>
        <family val="2"/>
      </rPr>
      <t>MFG Year (Manufacturing Year)</t>
    </r>
  </si>
  <si>
    <r>
      <t>h)</t>
    </r>
    <r>
      <rPr>
        <sz val="7"/>
        <rFont val="Times New Roman"/>
        <family val="1"/>
      </rPr>
      <t xml:space="preserve">      </t>
    </r>
    <r>
      <rPr>
        <sz val="12"/>
        <rFont val="Aptos"/>
        <family val="2"/>
      </rPr>
      <t>Cust ID (Customer ID)</t>
    </r>
  </si>
  <si>
    <r>
      <t>i)</t>
    </r>
    <r>
      <rPr>
        <sz val="7"/>
        <rFont val="Times New Roman"/>
        <family val="1"/>
      </rPr>
      <t xml:space="preserve">        </t>
    </r>
    <r>
      <rPr>
        <sz val="12"/>
        <rFont val="Aptos"/>
        <family val="2"/>
      </rPr>
      <t>Location</t>
    </r>
  </si>
  <si>
    <r>
      <t>2)</t>
    </r>
    <r>
      <rPr>
        <sz val="7"/>
        <rFont val="Times New Roman"/>
        <family val="1"/>
      </rPr>
      <t xml:space="preserve">      </t>
    </r>
    <r>
      <rPr>
        <sz val="12"/>
        <rFont val="Aptos"/>
        <family val="2"/>
      </rPr>
      <t>Once the asset information has been entered, use the filter at the top of the QTY column to filter out any blank cells.</t>
    </r>
  </si>
  <si>
    <r>
      <t>a)</t>
    </r>
    <r>
      <rPr>
        <sz val="7"/>
        <rFont val="Times New Roman"/>
        <family val="1"/>
      </rPr>
      <t xml:space="preserve">      </t>
    </r>
    <r>
      <rPr>
        <sz val="12"/>
        <rFont val="Aptos"/>
        <family val="2"/>
      </rPr>
      <t xml:space="preserve">Click the filter button (gray box with the triangle)  </t>
    </r>
  </si>
  <si>
    <r>
      <t>b)</t>
    </r>
    <r>
      <rPr>
        <sz val="7"/>
        <rFont val="Times New Roman"/>
        <family val="1"/>
      </rPr>
      <t xml:space="preserve">     </t>
    </r>
    <r>
      <rPr>
        <sz val="12"/>
        <rFont val="Aptos"/>
        <family val="2"/>
      </rPr>
      <t xml:space="preserve">Uncheck “(Blanks)” </t>
    </r>
  </si>
  <si>
    <r>
      <t>c)</t>
    </r>
    <r>
      <rPr>
        <sz val="7"/>
        <rFont val="Times New Roman"/>
        <family val="1"/>
      </rPr>
      <t xml:space="preserve">      </t>
    </r>
    <r>
      <rPr>
        <sz val="12"/>
        <rFont val="Aptos"/>
        <family val="2"/>
      </rPr>
      <t>Click Ok</t>
    </r>
  </si>
  <si>
    <r>
      <t>d)</t>
    </r>
    <r>
      <rPr>
        <sz val="7"/>
        <rFont val="Times New Roman"/>
        <family val="1"/>
      </rPr>
      <t xml:space="preserve">     </t>
    </r>
    <r>
      <rPr>
        <sz val="12"/>
        <rFont val="Aptos"/>
        <family val="2"/>
      </rPr>
      <t>This will hide any of the blank lines that aren’t needed for this estimate.</t>
    </r>
  </si>
  <si>
    <r>
      <t>i)</t>
    </r>
    <r>
      <rPr>
        <sz val="7"/>
        <rFont val="Times New Roman"/>
        <family val="1"/>
      </rPr>
      <t xml:space="preserve">        </t>
    </r>
    <r>
      <rPr>
        <sz val="12"/>
        <rFont val="Aptos"/>
        <family val="2"/>
      </rPr>
      <t>Note: If you need lines added back in, click on the filter button and check “(Blanks)” and click ok.  This will unhide any of the cells that didn’t have any data in them.</t>
    </r>
  </si>
  <si>
    <r>
      <t>3)</t>
    </r>
    <r>
      <rPr>
        <sz val="7"/>
        <rFont val="Times New Roman"/>
        <family val="1"/>
      </rPr>
      <t xml:space="preserve">      </t>
    </r>
    <r>
      <rPr>
        <sz val="12"/>
        <rFont val="Aptos"/>
        <family val="2"/>
      </rPr>
      <t>Continue to fill in asset/equipment based on the needs of that equipment</t>
    </r>
  </si>
  <si>
    <r>
      <t>a)</t>
    </r>
    <r>
      <rPr>
        <sz val="7"/>
        <rFont val="Times New Roman"/>
        <family val="1"/>
      </rPr>
      <t xml:space="preserve">      </t>
    </r>
    <r>
      <rPr>
        <sz val="12"/>
        <rFont val="Aptos"/>
        <family val="2"/>
      </rPr>
      <t>Filter change and coil clean hours per change/clean</t>
    </r>
  </si>
  <si>
    <r>
      <t>b)</t>
    </r>
    <r>
      <rPr>
        <sz val="7"/>
        <rFont val="Times New Roman"/>
        <family val="1"/>
      </rPr>
      <t xml:space="preserve">     </t>
    </r>
    <r>
      <rPr>
        <sz val="12"/>
        <rFont val="Aptos"/>
        <family val="2"/>
      </rPr>
      <t>Belt Size &amp; quantity per unit</t>
    </r>
  </si>
  <si>
    <r>
      <t>c)</t>
    </r>
    <r>
      <rPr>
        <sz val="7"/>
        <rFont val="Times New Roman"/>
        <family val="1"/>
      </rPr>
      <t xml:space="preserve">      </t>
    </r>
    <r>
      <rPr>
        <sz val="12"/>
        <rFont val="Aptos"/>
        <family val="2"/>
      </rPr>
      <t>Filter Size &amp; quantity per unit</t>
    </r>
  </si>
  <si>
    <r>
      <t>4)</t>
    </r>
    <r>
      <rPr>
        <sz val="7"/>
        <rFont val="Times New Roman"/>
        <family val="1"/>
      </rPr>
      <t xml:space="preserve">      </t>
    </r>
    <r>
      <rPr>
        <sz val="12"/>
        <rFont val="Aptos"/>
        <family val="2"/>
      </rPr>
      <t>Enter inspection hours in the appropriate months.</t>
    </r>
  </si>
  <si>
    <r>
      <t>a)</t>
    </r>
    <r>
      <rPr>
        <sz val="7"/>
        <rFont val="Times New Roman"/>
        <family val="1"/>
      </rPr>
      <t xml:space="preserve">      </t>
    </r>
    <r>
      <rPr>
        <sz val="12"/>
        <rFont val="Aptos"/>
        <family val="2"/>
      </rPr>
      <t>Filter change and coil clean hours will be entered based on month they will happen</t>
    </r>
  </si>
  <si>
    <r>
      <t>5)</t>
    </r>
    <r>
      <rPr>
        <sz val="7"/>
        <rFont val="Times New Roman"/>
        <family val="1"/>
      </rPr>
      <t xml:space="preserve">      </t>
    </r>
    <r>
      <rPr>
        <sz val="12"/>
        <rFont val="Aptos"/>
        <family val="2"/>
      </rPr>
      <t>Once the inspection hours have been populated, select months for coil cleaning and belt changes.</t>
    </r>
  </si>
  <si>
    <r>
      <t>6)</t>
    </r>
    <r>
      <rPr>
        <sz val="7"/>
        <rFont val="Times New Roman"/>
        <family val="1"/>
      </rPr>
      <t xml:space="preserve">      </t>
    </r>
    <r>
      <rPr>
        <sz val="12"/>
        <rFont val="Aptos"/>
        <family val="2"/>
      </rPr>
      <t>For filter changes, first select the starting the frequency and then the starting month.  This will then populate the Filter change schedule.</t>
    </r>
  </si>
  <si>
    <r>
      <t>7)</t>
    </r>
    <r>
      <rPr>
        <sz val="7"/>
        <rFont val="Times New Roman"/>
        <family val="1"/>
      </rPr>
      <t xml:space="preserve">      </t>
    </r>
    <r>
      <rPr>
        <sz val="12"/>
        <rFont val="Aptos"/>
        <family val="2"/>
      </rPr>
      <t>Once the months are selected for the coil cleaning, belt changes and filter changes, the appropriate hours and material costs will populate in the chart.</t>
    </r>
  </si>
  <si>
    <t>Service Estimate - NEW</t>
  </si>
  <si>
    <r>
      <t>1)</t>
    </r>
    <r>
      <rPr>
        <sz val="7"/>
        <rFont val="Times New Roman"/>
        <family val="1"/>
      </rPr>
      <t xml:space="preserve">      </t>
    </r>
    <r>
      <rPr>
        <sz val="12"/>
        <rFont val="Aptos"/>
        <family val="2"/>
      </rPr>
      <t>Select Branch</t>
    </r>
  </si>
  <si>
    <r>
      <t>2)</t>
    </r>
    <r>
      <rPr>
        <sz val="7"/>
        <rFont val="Times New Roman"/>
        <family val="1"/>
      </rPr>
      <t xml:space="preserve">      </t>
    </r>
    <r>
      <rPr>
        <sz val="12"/>
        <rFont val="Aptos"/>
        <family val="2"/>
      </rPr>
      <t>All hours have been populated from the Equipment List tab accordingly based on planned maintenance, coil cleaning and filter changes.</t>
    </r>
  </si>
  <si>
    <r>
      <t>3)</t>
    </r>
    <r>
      <rPr>
        <sz val="7"/>
        <rFont val="Times New Roman"/>
        <family val="1"/>
      </rPr>
      <t xml:space="preserve">      </t>
    </r>
    <r>
      <rPr>
        <sz val="12"/>
        <rFont val="Aptos"/>
        <family val="2"/>
      </rPr>
      <t>Each section includes total hours and a service crew rate calculator.</t>
    </r>
  </si>
  <si>
    <r>
      <t>5)</t>
    </r>
    <r>
      <rPr>
        <sz val="7"/>
        <rFont val="Times New Roman"/>
        <family val="1"/>
      </rPr>
      <t xml:space="preserve">      </t>
    </r>
    <r>
      <rPr>
        <sz val="12"/>
        <rFont val="Aptos"/>
        <family val="2"/>
      </rPr>
      <t>The material costs have been auto populated from the equipment list</t>
    </r>
  </si>
  <si>
    <r>
      <t>6)</t>
    </r>
    <r>
      <rPr>
        <sz val="7"/>
        <rFont val="Times New Roman"/>
        <family val="1"/>
      </rPr>
      <t xml:space="preserve">      </t>
    </r>
    <r>
      <rPr>
        <sz val="12"/>
        <rFont val="Aptos"/>
        <family val="2"/>
      </rPr>
      <t>Select appropriate county</t>
    </r>
  </si>
  <si>
    <r>
      <t>7)</t>
    </r>
    <r>
      <rPr>
        <sz val="7"/>
        <rFont val="Times New Roman"/>
        <family val="1"/>
      </rPr>
      <t xml:space="preserve">      </t>
    </r>
    <r>
      <rPr>
        <sz val="12"/>
        <rFont val="Aptos"/>
        <family val="2"/>
      </rPr>
      <t>Enter any subcontract costs.</t>
    </r>
  </si>
  <si>
    <r>
      <t>8)</t>
    </r>
    <r>
      <rPr>
        <sz val="7"/>
        <rFont val="Times New Roman"/>
        <family val="1"/>
      </rPr>
      <t xml:space="preserve">      </t>
    </r>
    <r>
      <rPr>
        <sz val="12"/>
        <rFont val="Aptos"/>
        <family val="2"/>
      </rPr>
      <t>Adjust gross margin as needed.  Note: the gross margin cannot be entered below 28%.  If a gross margin below 28% is needed, leadership approval is required.</t>
    </r>
  </si>
  <si>
    <r>
      <t>9)</t>
    </r>
    <r>
      <rPr>
        <sz val="7"/>
        <rFont val="Times New Roman"/>
        <family val="1"/>
      </rPr>
      <t xml:space="preserve">      </t>
    </r>
    <r>
      <rPr>
        <sz val="12"/>
        <rFont val="Aptos"/>
        <family val="2"/>
      </rPr>
      <t>All costs will auto populate onto the booking sheet.</t>
    </r>
  </si>
  <si>
    <r>
      <t>6)</t>
    </r>
    <r>
      <rPr>
        <sz val="7"/>
        <rFont val="Times New Roman"/>
        <family val="1"/>
      </rPr>
      <t xml:space="preserve">      </t>
    </r>
    <r>
      <rPr>
        <sz val="12"/>
        <rFont val="Aptos"/>
        <family val="2"/>
      </rPr>
      <t xml:space="preserve">Payment Terms &amp; Breakouts: Please make sure you check the box if the payment terms have been clarified with the customer and if it is to be billed on a
Scheduled Time (i.e. </t>
    </r>
    <r>
      <rPr>
        <i/>
        <sz val="12"/>
        <rFont val="Aptos"/>
        <family val="2"/>
      </rPr>
      <t>Semi-Annual, Quarterly or Monthly)</t>
    </r>
    <r>
      <rPr>
        <sz val="12"/>
        <rFont val="Aptos"/>
        <family val="2"/>
      </rPr>
      <t xml:space="preserve"> or if it is to be billed at Time of Service.</t>
    </r>
  </si>
  <si>
    <r>
      <t>b)</t>
    </r>
    <r>
      <rPr>
        <i/>
        <sz val="7"/>
        <rFont val="Times New Roman"/>
        <family val="1"/>
      </rPr>
      <t xml:space="preserve">     </t>
    </r>
    <r>
      <rPr>
        <i/>
        <sz val="12"/>
        <rFont val="Aptos"/>
        <family val="2"/>
      </rPr>
      <t>Multi-Year:</t>
    </r>
    <r>
      <rPr>
        <sz val="12"/>
        <rFont val="Aptos"/>
        <family val="2"/>
      </rPr>
      <t xml:space="preserve"> First select the contract length and then enter the start date and the end date and payment terms will populate.  The annual increase is automatically 4%.
The full contract amount will be calculated for you.</t>
    </r>
  </si>
  <si>
    <r>
      <t>9)</t>
    </r>
    <r>
      <rPr>
        <sz val="7"/>
        <rFont val="Times New Roman"/>
        <family val="1"/>
      </rPr>
      <t xml:space="preserve">      </t>
    </r>
    <r>
      <rPr>
        <sz val="12"/>
        <rFont val="Aptos"/>
        <family val="2"/>
      </rPr>
      <t>Inspection and filter change hours populate in the corresponding months and automatically transfer to the booking form from the
Equipment Tab depending on where you delegate hours per month.</t>
    </r>
  </si>
  <si>
    <r>
      <t>4)</t>
    </r>
    <r>
      <rPr>
        <sz val="7"/>
        <rFont val="Times New Roman"/>
        <family val="1"/>
      </rPr>
      <t xml:space="preserve">      </t>
    </r>
    <r>
      <rPr>
        <sz val="12"/>
        <rFont val="Aptos"/>
        <family val="2"/>
      </rPr>
      <t>Allocate hours accordingly by apprentice/journeyman/foreman for each section. This will adjust the crew rate.  Any remaining hours will be at the foreman rate. 
The remaining balance will show green if no hours need to be allocated</t>
    </r>
  </si>
  <si>
    <r>
      <t>c)</t>
    </r>
    <r>
      <rPr>
        <sz val="7"/>
        <rFont val="Times New Roman"/>
        <family val="1"/>
      </rPr>
      <t xml:space="preserve">      </t>
    </r>
    <r>
      <rPr>
        <sz val="12"/>
        <rFont val="Aptos"/>
        <family val="2"/>
      </rPr>
      <t>SPECIAL RATES/RATE INCREASES Needs to be filled out, if nothing applies put NONE.  Any special rates need to be sent to the CFO to be entered into Coins.</t>
    </r>
  </si>
  <si>
    <r>
      <t>d)</t>
    </r>
    <r>
      <rPr>
        <sz val="7"/>
        <rFont val="Times New Roman"/>
        <family val="1"/>
      </rPr>
      <t xml:space="preserve">     </t>
    </r>
    <r>
      <rPr>
        <sz val="12"/>
        <rFont val="Aptos"/>
        <family val="2"/>
      </rPr>
      <t>PRICE CLASSIFICATION is a dropdown and is where you select if the PMA is a Street Rate or Preferred Rate.</t>
    </r>
  </si>
  <si>
    <t>*Copy CFO when booking</t>
  </si>
  <si>
    <r>
      <t>11)</t>
    </r>
    <r>
      <rPr>
        <sz val="7"/>
        <rFont val="Times New Roman"/>
        <family val="1"/>
      </rPr>
      <t xml:space="preserve"> </t>
    </r>
    <r>
      <rPr>
        <sz val="12"/>
        <rFont val="Aptos"/>
        <family val="2"/>
      </rPr>
      <t>Billing month will auto populate based on the start date.  Enter an “X” in any additional billing months or different months based on first inspection.
The billing should happen the month before the inspection</t>
    </r>
  </si>
  <si>
    <r>
      <t>i)</t>
    </r>
    <r>
      <rPr>
        <sz val="7"/>
        <rFont val="Times New Roman"/>
        <family val="1"/>
      </rPr>
      <t xml:space="preserve">        </t>
    </r>
    <r>
      <rPr>
        <sz val="12"/>
        <rFont val="Aptos"/>
        <family val="2"/>
      </rPr>
      <t>Note: if a piece of equipment requires 2 different types of filters, you will need to add an additional line for that equipment.  Enter 0 (zero) as the qty for that line and select the second type of filter.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</si>
</sst>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 numFmtId="165" formatCode="General_)"/>
    <numFmt numFmtId="166" formatCode="mmmm\ d\,\ yyyy"/>
    <numFmt numFmtId="167" formatCode="&quot;$&quot;#,##0.00"/>
    <numFmt numFmtId="168" formatCode="[$-409]mmmm\ d\,\ yyyy;@"/>
    <numFmt numFmtId="169" formatCode="\$0.00"/>
    <numFmt numFmtId="170" formatCode="m/d/yy;@"/>
    <numFmt numFmtId="171" formatCode="_(* #,##0.000_);_(* \(#,##0.000\);_(* &quot;-&quot;??_);_(@_)"/>
    <numFmt numFmtId="172" formatCode="0.000%"/>
    <numFmt numFmtId="173" formatCode="mmmm"/>
  </numFmts>
  <fonts count="8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b/>
      <sz val="11"/>
      <name val="Arial"/>
      <family val="2"/>
    </font>
    <font>
      <b/>
      <sz val="12"/>
      <name val="Arial"/>
      <family val="2"/>
    </font>
    <font>
      <b/>
      <sz val="8"/>
      <name val="Arial"/>
      <family val="2"/>
    </font>
    <font>
      <b/>
      <sz val="12"/>
      <color rgb="FFFF0000"/>
      <name val="Arial"/>
      <family val="2"/>
    </font>
    <font>
      <sz val="9"/>
      <name val="Arial"/>
      <family val="2"/>
    </font>
    <font>
      <sz val="11"/>
      <name val="Arial"/>
      <family val="2"/>
    </font>
    <font>
      <sz val="10"/>
      <name val="Arial"/>
      <family val="2"/>
    </font>
    <font>
      <sz val="8.5"/>
      <name val="LinePrinter"/>
    </font>
    <font>
      <b/>
      <sz val="18"/>
      <name val="Arial"/>
      <family val="2"/>
    </font>
    <font>
      <b/>
      <sz val="9"/>
      <name val="Arial"/>
      <family val="2"/>
    </font>
    <font>
      <b/>
      <i/>
      <sz val="10"/>
      <name val="Arial"/>
      <family val="2"/>
    </font>
    <font>
      <sz val="8"/>
      <name val="Arial"/>
      <family val="2"/>
    </font>
    <font>
      <b/>
      <i/>
      <sz val="11"/>
      <name val="Arial"/>
      <family val="2"/>
    </font>
    <font>
      <u/>
      <sz val="11"/>
      <color theme="10"/>
      <name val="Calibri"/>
      <family val="2"/>
      <scheme val="minor"/>
    </font>
    <font>
      <i/>
      <sz val="10"/>
      <name val="Arial"/>
      <family val="2"/>
    </font>
    <font>
      <b/>
      <u/>
      <sz val="12"/>
      <name val="Arial"/>
      <family val="2"/>
    </font>
    <font>
      <sz val="12"/>
      <name val="Arial"/>
      <family val="2"/>
    </font>
    <font>
      <b/>
      <i/>
      <sz val="9"/>
      <name val="Arial"/>
      <family val="2"/>
    </font>
    <font>
      <b/>
      <i/>
      <sz val="8"/>
      <name val="Arial"/>
      <family val="2"/>
    </font>
    <font>
      <sz val="11"/>
      <color rgb="FF000000"/>
      <name val="Calibri"/>
      <family val="2"/>
    </font>
    <font>
      <b/>
      <sz val="11"/>
      <color rgb="FF000000"/>
      <name val="Arial"/>
      <family val="2"/>
    </font>
    <font>
      <b/>
      <sz val="10"/>
      <color rgb="FF000000"/>
      <name val="Arial"/>
      <family val="2"/>
    </font>
    <font>
      <sz val="8"/>
      <color rgb="FF000000"/>
      <name val="Arial"/>
      <family val="2"/>
    </font>
    <font>
      <u/>
      <sz val="11"/>
      <color rgb="FF0563C1"/>
      <name val="Calibri"/>
      <family val="2"/>
    </font>
    <font>
      <sz val="10"/>
      <color rgb="FF000000"/>
      <name val="Arial"/>
      <family val="2"/>
    </font>
    <font>
      <b/>
      <sz val="11"/>
      <color rgb="FF000000"/>
      <name val="Calibri"/>
      <family val="2"/>
    </font>
    <font>
      <sz val="12"/>
      <color rgb="FF000000"/>
      <name val="Calibri"/>
      <family val="2"/>
    </font>
    <font>
      <b/>
      <sz val="11"/>
      <color rgb="FFFF0000"/>
      <name val="Calibri"/>
      <family val="2"/>
    </font>
    <font>
      <sz val="9"/>
      <color indexed="81"/>
      <name val="Tahoma"/>
      <family val="2"/>
    </font>
    <font>
      <b/>
      <sz val="9"/>
      <color indexed="81"/>
      <name val="Tahoma"/>
      <family val="2"/>
    </font>
    <font>
      <sz val="11"/>
      <color indexed="81"/>
      <name val="Calibri"/>
      <family val="2"/>
      <scheme val="minor"/>
    </font>
    <font>
      <b/>
      <sz val="11"/>
      <color indexed="81"/>
      <name val="Calibri"/>
      <family val="2"/>
      <scheme val="minor"/>
    </font>
    <font>
      <sz val="10"/>
      <color theme="1"/>
      <name val="Arial"/>
      <family val="2"/>
    </font>
    <font>
      <b/>
      <sz val="10"/>
      <color theme="1"/>
      <name val="Arial"/>
      <family val="2"/>
    </font>
    <font>
      <b/>
      <sz val="10"/>
      <color theme="0"/>
      <name val="Arial"/>
      <family val="2"/>
    </font>
    <font>
      <b/>
      <sz val="12"/>
      <color theme="0"/>
      <name val="Arial"/>
      <family val="2"/>
    </font>
    <font>
      <b/>
      <sz val="12"/>
      <color rgb="FFFFFF00"/>
      <name val="Arial"/>
      <family val="2"/>
    </font>
    <font>
      <sz val="10"/>
      <name val="Arial"/>
      <family val="2"/>
    </font>
    <font>
      <sz val="12"/>
      <name val="Arial"/>
      <family val="2"/>
    </font>
    <font>
      <sz val="12"/>
      <color rgb="FF000000"/>
      <name val="Arial"/>
      <family val="2"/>
    </font>
    <font>
      <b/>
      <sz val="24"/>
      <name val="Arial"/>
      <family val="2"/>
    </font>
    <font>
      <sz val="10"/>
      <color rgb="FFFF0000"/>
      <name val="Arial"/>
      <family val="2"/>
    </font>
    <font>
      <b/>
      <u/>
      <sz val="20"/>
      <color theme="1"/>
      <name val="Calibri"/>
      <family val="2"/>
      <scheme val="minor"/>
    </font>
    <font>
      <sz val="12"/>
      <color theme="1"/>
      <name val="Calibri"/>
      <family val="2"/>
      <scheme val="minor"/>
    </font>
    <font>
      <sz val="12"/>
      <color theme="1"/>
      <name val="Wingdings 3"/>
      <family val="1"/>
      <charset val="2"/>
    </font>
    <font>
      <b/>
      <u/>
      <sz val="12"/>
      <color theme="1"/>
      <name val="Calibri"/>
      <family val="2"/>
      <scheme val="minor"/>
    </font>
    <font>
      <b/>
      <u/>
      <sz val="12"/>
      <color rgb="FFFF0000"/>
      <name val="Calibri"/>
      <family val="2"/>
      <scheme val="minor"/>
    </font>
    <font>
      <u/>
      <sz val="12"/>
      <color indexed="8"/>
      <name val="Calibri"/>
      <family val="2"/>
    </font>
    <font>
      <i/>
      <sz val="12"/>
      <color theme="1"/>
      <name val="Calibri"/>
      <family val="2"/>
      <scheme val="minor"/>
    </font>
    <font>
      <sz val="10.5"/>
      <color theme="1"/>
      <name val="Calibri"/>
      <family val="2"/>
      <scheme val="minor"/>
    </font>
    <font>
      <sz val="8"/>
      <color theme="1"/>
      <name val="Calibri"/>
      <family val="2"/>
      <scheme val="minor"/>
    </font>
    <font>
      <sz val="12"/>
      <name val="Calibri"/>
      <family val="2"/>
      <scheme val="minor"/>
    </font>
    <font>
      <b/>
      <sz val="16"/>
      <color rgb="FF0070C0"/>
      <name val="Arial"/>
      <family val="2"/>
    </font>
    <font>
      <b/>
      <i/>
      <sz val="16"/>
      <color rgb="FFFF0000"/>
      <name val="Arial"/>
      <family val="2"/>
    </font>
    <font>
      <b/>
      <u/>
      <sz val="11"/>
      <name val="Arial"/>
      <family val="2"/>
    </font>
    <font>
      <b/>
      <i/>
      <u/>
      <sz val="12"/>
      <name val="Arial"/>
      <family val="2"/>
    </font>
    <font>
      <u/>
      <sz val="11"/>
      <name val="Arial"/>
      <family val="2"/>
    </font>
    <font>
      <i/>
      <sz val="12"/>
      <name val="Arial"/>
      <family val="2"/>
    </font>
    <font>
      <b/>
      <sz val="12"/>
      <color rgb="FF184AEC"/>
      <name val="Arial"/>
      <family val="2"/>
    </font>
    <font>
      <u/>
      <sz val="12"/>
      <name val="Arial"/>
      <family val="2"/>
    </font>
    <font>
      <b/>
      <i/>
      <sz val="14"/>
      <color theme="1"/>
      <name val="Calibri"/>
      <family val="2"/>
      <scheme val="minor"/>
    </font>
    <font>
      <b/>
      <sz val="16"/>
      <color rgb="FFFF0000"/>
      <name val="Arial"/>
      <family val="2"/>
    </font>
    <font>
      <b/>
      <i/>
      <sz val="16"/>
      <name val="Arial"/>
      <family val="2"/>
    </font>
    <font>
      <b/>
      <sz val="11"/>
      <color theme="0" tint="-0.14999847407452621"/>
      <name val="Calibri"/>
      <family val="2"/>
      <scheme val="minor"/>
    </font>
    <font>
      <sz val="11"/>
      <color theme="0" tint="-0.14999847407452621"/>
      <name val="Calibri"/>
      <family val="2"/>
      <scheme val="minor"/>
    </font>
    <font>
      <b/>
      <sz val="12"/>
      <color theme="1"/>
      <name val="Calibri"/>
      <family val="2"/>
      <scheme val="minor"/>
    </font>
    <font>
      <sz val="12"/>
      <name val="Aptos"/>
      <family val="2"/>
    </font>
    <font>
      <b/>
      <sz val="12"/>
      <name val="Aptos"/>
      <family val="2"/>
    </font>
    <font>
      <sz val="7"/>
      <name val="Times New Roman"/>
      <family val="1"/>
    </font>
    <font>
      <i/>
      <sz val="12"/>
      <name val="Aptos"/>
      <family val="2"/>
    </font>
    <font>
      <i/>
      <sz val="7"/>
      <name val="Times New Roman"/>
      <family val="1"/>
    </font>
    <font>
      <sz val="12"/>
      <color theme="0"/>
      <name val="Arial"/>
      <family val="2"/>
    </font>
  </fonts>
  <fills count="21">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6" tint="0.59999389629810485"/>
        <bgColor indexed="64"/>
      </patternFill>
    </fill>
    <fill>
      <patternFill patternType="solid">
        <fgColor indexed="41"/>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2CC"/>
        <bgColor rgb="FF000000"/>
      </patternFill>
    </fill>
    <fill>
      <patternFill patternType="solid">
        <fgColor rgb="FFC0C0C0"/>
        <bgColor rgb="FF000000"/>
      </patternFill>
    </fill>
    <fill>
      <patternFill patternType="solid">
        <fgColor rgb="FF000000"/>
        <bgColor rgb="FF000000"/>
      </patternFill>
    </fill>
    <fill>
      <patternFill patternType="solid">
        <fgColor rgb="FFA6A6A6"/>
        <bgColor rgb="FF000000"/>
      </patternFill>
    </fill>
    <fill>
      <patternFill patternType="solid">
        <fgColor rgb="FFFFFF00"/>
        <bgColor rgb="FF000000"/>
      </patternFill>
    </fill>
    <fill>
      <patternFill patternType="solid">
        <fgColor theme="6" tint="0.39997558519241921"/>
        <bgColor indexed="64"/>
      </patternFill>
    </fill>
    <fill>
      <patternFill patternType="solid">
        <fgColor theme="1"/>
        <bgColor indexed="64"/>
      </patternFill>
    </fill>
    <fill>
      <patternFill patternType="solid">
        <fgColor rgb="FFFFC000"/>
        <bgColor indexed="64"/>
      </patternFill>
    </fill>
    <fill>
      <patternFill patternType="solid">
        <fgColor rgb="FF00B0F0"/>
        <bgColor indexed="64"/>
      </patternFill>
    </fill>
    <fill>
      <patternFill patternType="solid">
        <fgColor indexed="9"/>
      </patternFill>
    </fill>
    <fill>
      <patternFill patternType="solid">
        <fgColor theme="4" tint="0.79998168889431442"/>
        <bgColor indexed="64"/>
      </patternFill>
    </fill>
    <fill>
      <patternFill patternType="solid">
        <fgColor theme="0" tint="-0.14999847407452621"/>
        <bgColor indexed="64"/>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medium">
        <color indexed="64"/>
      </bottom>
      <diagonal/>
    </border>
    <border>
      <left style="thin">
        <color indexed="64"/>
      </left>
      <right/>
      <top style="thin">
        <color indexed="64"/>
      </top>
      <bottom style="double">
        <color indexed="64"/>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thin">
        <color indexed="64"/>
      </right>
      <top style="double">
        <color indexed="64"/>
      </top>
      <bottom style="medium">
        <color indexed="6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theme="0"/>
      </left>
      <right style="thin">
        <color theme="0"/>
      </right>
      <top style="thin">
        <color indexed="64"/>
      </top>
      <bottom style="double">
        <color indexed="64"/>
      </bottom>
      <diagonal/>
    </border>
    <border>
      <left/>
      <right/>
      <top style="thin">
        <color indexed="64"/>
      </top>
      <bottom style="double">
        <color indexed="64"/>
      </bottom>
      <diagonal/>
    </border>
    <border>
      <left style="thin">
        <color theme="0"/>
      </left>
      <right style="thin">
        <color theme="0"/>
      </right>
      <top style="thin">
        <color indexed="64"/>
      </top>
      <bottom style="thin">
        <color indexed="64"/>
      </bottom>
      <diagonal/>
    </border>
    <border>
      <left/>
      <right style="thin">
        <color theme="0"/>
      </right>
      <top style="thin">
        <color indexed="64"/>
      </top>
      <bottom style="double">
        <color indexed="64"/>
      </bottom>
      <diagonal/>
    </border>
    <border>
      <left style="thin">
        <color theme="0"/>
      </left>
      <right style="thin">
        <color theme="0"/>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thin">
        <color indexed="64"/>
      </right>
      <top style="medium">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s>
  <cellStyleXfs count="25">
    <xf numFmtId="0" fontId="0" fillId="0" borderId="0"/>
    <xf numFmtId="0" fontId="7" fillId="0" borderId="0"/>
    <xf numFmtId="44" fontId="7" fillId="0" borderId="0" applyFont="0" applyFill="0" applyBorder="0" applyAlignment="0" applyProtection="0"/>
    <xf numFmtId="44" fontId="14" fillId="0" borderId="0" applyFont="0" applyFill="0" applyBorder="0" applyAlignment="0" applyProtection="0"/>
    <xf numFmtId="9" fontId="14" fillId="0" borderId="0" applyFont="0" applyFill="0" applyBorder="0" applyAlignment="0" applyProtection="0"/>
    <xf numFmtId="165" fontId="15" fillId="0" borderId="0" applyFill="0"/>
    <xf numFmtId="0" fontId="7" fillId="0" borderId="0"/>
    <xf numFmtId="0" fontId="21" fillId="0" borderId="0" applyNumberFormat="0" applyFill="0" applyBorder="0" applyAlignment="0" applyProtection="0"/>
    <xf numFmtId="0" fontId="7" fillId="0" borderId="0"/>
    <xf numFmtId="0" fontId="45" fillId="0" borderId="0"/>
    <xf numFmtId="0" fontId="5" fillId="0" borderId="0"/>
    <xf numFmtId="0" fontId="24" fillId="18" borderId="0"/>
    <xf numFmtId="0" fontId="24" fillId="18" borderId="0"/>
    <xf numFmtId="43" fontId="7" fillId="0" borderId="0" applyFont="0" applyFill="0" applyBorder="0" applyAlignment="0" applyProtection="0"/>
    <xf numFmtId="0" fontId="7" fillId="0" borderId="0"/>
    <xf numFmtId="43" fontId="3" fillId="0" borderId="0" applyFont="0" applyFill="0" applyBorder="0" applyAlignment="0" applyProtection="0"/>
    <xf numFmtId="43" fontId="7" fillId="0" borderId="0" applyFont="0" applyFill="0" applyBorder="0" applyAlignment="0" applyProtection="0"/>
    <xf numFmtId="9" fontId="3" fillId="0" borderId="0" applyFont="0" applyFill="0" applyBorder="0" applyAlignment="0" applyProtection="0"/>
    <xf numFmtId="0" fontId="3" fillId="0" borderId="0"/>
    <xf numFmtId="9" fontId="7" fillId="0" borderId="0" applyFont="0" applyFill="0" applyBorder="0" applyAlignment="0" applyProtection="0"/>
    <xf numFmtId="44" fontId="3" fillId="0" borderId="0" applyFont="0" applyFill="0" applyBorder="0" applyAlignment="0" applyProtection="0"/>
    <xf numFmtId="0" fontId="2" fillId="0" borderId="0"/>
    <xf numFmtId="44" fontId="7" fillId="0" borderId="0" applyFont="0" applyFill="0" applyBorder="0" applyAlignment="0" applyProtection="0"/>
    <xf numFmtId="0" fontId="1" fillId="0" borderId="0"/>
    <xf numFmtId="44" fontId="1" fillId="0" borderId="0" applyFont="0" applyFill="0" applyBorder="0" applyAlignment="0" applyProtection="0"/>
  </cellStyleXfs>
  <cellXfs count="692">
    <xf numFmtId="0" fontId="0" fillId="0" borderId="0" xfId="0"/>
    <xf numFmtId="0" fontId="6" fillId="0" borderId="0" xfId="0" applyFont="1" applyAlignment="1">
      <alignment horizontal="center"/>
    </xf>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center"/>
    </xf>
    <xf numFmtId="0" fontId="6" fillId="0" borderId="0" xfId="0" applyFont="1"/>
    <xf numFmtId="0" fontId="6" fillId="0" borderId="3" xfId="0" applyFont="1" applyBorder="1" applyAlignment="1">
      <alignment horizontal="center"/>
    </xf>
    <xf numFmtId="0" fontId="6" fillId="0" borderId="4" xfId="0" applyFont="1" applyBorder="1" applyAlignment="1">
      <alignment horizontal="right"/>
    </xf>
    <xf numFmtId="0" fontId="6" fillId="0" borderId="3" xfId="0" applyFont="1" applyBorder="1"/>
    <xf numFmtId="0" fontId="6" fillId="0" borderId="6" xfId="0" applyFont="1" applyBorder="1" applyAlignment="1">
      <alignment horizontal="center"/>
    </xf>
    <xf numFmtId="0" fontId="6" fillId="0" borderId="7" xfId="0" applyFont="1" applyBorder="1"/>
    <xf numFmtId="0" fontId="0" fillId="0" borderId="2" xfId="0" applyBorder="1" applyAlignment="1">
      <alignment horizontal="left"/>
    </xf>
    <xf numFmtId="0" fontId="7" fillId="0" borderId="0" xfId="0" applyFont="1"/>
    <xf numFmtId="0" fontId="0" fillId="0" borderId="0" xfId="0" applyAlignment="1">
      <alignment horizontal="center" vertical="center"/>
    </xf>
    <xf numFmtId="44" fontId="0" fillId="0" borderId="0" xfId="0" applyNumberFormat="1"/>
    <xf numFmtId="0" fontId="9" fillId="0" borderId="0" xfId="0" applyFont="1" applyAlignment="1">
      <alignment horizontal="right"/>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13" xfId="0" applyFont="1" applyBorder="1" applyAlignment="1">
      <alignment horizontal="right"/>
    </xf>
    <xf numFmtId="0" fontId="0" fillId="0" borderId="0" xfId="0" applyAlignment="1">
      <alignment horizontal="right"/>
    </xf>
    <xf numFmtId="0" fontId="7" fillId="0" borderId="0" xfId="0" applyFont="1" applyAlignment="1">
      <alignment horizontal="right"/>
    </xf>
    <xf numFmtId="0" fontId="6" fillId="0" borderId="0" xfId="0" applyFont="1" applyAlignment="1">
      <alignment horizontal="right"/>
    </xf>
    <xf numFmtId="0" fontId="0" fillId="3" borderId="0" xfId="0" applyFill="1"/>
    <xf numFmtId="0" fontId="7" fillId="0" borderId="0" xfId="0" applyFont="1" applyAlignment="1">
      <alignment horizontal="left"/>
    </xf>
    <xf numFmtId="0" fontId="6" fillId="0" borderId="0" xfId="0" applyFont="1" applyAlignment="1">
      <alignment horizontal="center" vertical="center"/>
    </xf>
    <xf numFmtId="0" fontId="6" fillId="0" borderId="10" xfId="0" applyFont="1" applyBorder="1" applyAlignment="1">
      <alignment horizontal="right"/>
    </xf>
    <xf numFmtId="43" fontId="0" fillId="0" borderId="0" xfId="0" applyNumberFormat="1"/>
    <xf numFmtId="0" fontId="7" fillId="0" borderId="0" xfId="0" applyFont="1" applyAlignment="1">
      <alignment horizontal="center" vertical="center"/>
    </xf>
    <xf numFmtId="0" fontId="0" fillId="7" borderId="0" xfId="0" applyFill="1"/>
    <xf numFmtId="0" fontId="0" fillId="14" borderId="1" xfId="0" applyFill="1" applyBorder="1"/>
    <xf numFmtId="0" fontId="0" fillId="3" borderId="1" xfId="0" applyFill="1" applyBorder="1" applyAlignment="1">
      <alignment horizontal="center"/>
    </xf>
    <xf numFmtId="0" fontId="7" fillId="0" borderId="0" xfId="0" applyFont="1" applyAlignment="1">
      <alignment horizontal="left" vertical="center"/>
    </xf>
    <xf numFmtId="0" fontId="9" fillId="0" borderId="0" xfId="0" applyFont="1"/>
    <xf numFmtId="43" fontId="0" fillId="0" borderId="1" xfId="0" applyNumberFormat="1" applyBorder="1"/>
    <xf numFmtId="0" fontId="43" fillId="15" borderId="3" xfId="0" applyFont="1" applyFill="1" applyBorder="1" applyAlignment="1">
      <alignment horizontal="center"/>
    </xf>
    <xf numFmtId="0" fontId="43" fillId="15" borderId="3" xfId="0" applyFont="1" applyFill="1" applyBorder="1" applyAlignment="1">
      <alignment horizontal="center" vertical="center"/>
    </xf>
    <xf numFmtId="0" fontId="9" fillId="0" borderId="0" xfId="0" applyFont="1" applyAlignment="1">
      <alignment horizontal="center"/>
    </xf>
    <xf numFmtId="0" fontId="24" fillId="0" borderId="0" xfId="0" applyFont="1"/>
    <xf numFmtId="43" fontId="24" fillId="0" borderId="0" xfId="0" applyNumberFormat="1" applyFont="1" applyAlignment="1">
      <alignment horizontal="center"/>
    </xf>
    <xf numFmtId="0" fontId="43" fillId="15" borderId="42" xfId="0" applyFont="1" applyFill="1" applyBorder="1" applyAlignment="1">
      <alignment horizontal="center"/>
    </xf>
    <xf numFmtId="0" fontId="43" fillId="15" borderId="43" xfId="0" applyFont="1" applyFill="1" applyBorder="1" applyAlignment="1">
      <alignment horizontal="center"/>
    </xf>
    <xf numFmtId="43" fontId="0" fillId="3" borderId="31" xfId="0" applyNumberFormat="1" applyFill="1" applyBorder="1"/>
    <xf numFmtId="0" fontId="6" fillId="0" borderId="30" xfId="0" applyFont="1" applyBorder="1" applyAlignment="1">
      <alignment horizontal="right"/>
    </xf>
    <xf numFmtId="0" fontId="42" fillId="15" borderId="42" xfId="0" applyFont="1" applyFill="1" applyBorder="1" applyAlignment="1">
      <alignment horizontal="center"/>
    </xf>
    <xf numFmtId="0" fontId="42" fillId="15" borderId="43" xfId="0" applyFont="1" applyFill="1" applyBorder="1" applyAlignment="1">
      <alignment horizontal="center"/>
    </xf>
    <xf numFmtId="43" fontId="6" fillId="3" borderId="45" xfId="0" applyNumberFormat="1" applyFont="1" applyFill="1" applyBorder="1"/>
    <xf numFmtId="43" fontId="6" fillId="3" borderId="29" xfId="0" applyNumberFormat="1" applyFont="1" applyFill="1" applyBorder="1"/>
    <xf numFmtId="43" fontId="41" fillId="3" borderId="23" xfId="0" applyNumberFormat="1" applyFont="1" applyFill="1" applyBorder="1" applyAlignment="1">
      <alignment horizontal="center"/>
    </xf>
    <xf numFmtId="43" fontId="41" fillId="3" borderId="44" xfId="0" applyNumberFormat="1" applyFont="1" applyFill="1" applyBorder="1" applyAlignment="1">
      <alignment horizontal="center"/>
    </xf>
    <xf numFmtId="43" fontId="41" fillId="0" borderId="0" xfId="0" applyNumberFormat="1" applyFont="1"/>
    <xf numFmtId="43" fontId="7" fillId="0" borderId="0" xfId="0" applyNumberFormat="1" applyFont="1"/>
    <xf numFmtId="43" fontId="40" fillId="0" borderId="0" xfId="0" applyNumberFormat="1" applyFont="1" applyAlignment="1">
      <alignment horizontal="center"/>
    </xf>
    <xf numFmtId="43" fontId="0" fillId="3" borderId="33" xfId="0" applyNumberFormat="1" applyFill="1" applyBorder="1"/>
    <xf numFmtId="0" fontId="43" fillId="15" borderId="46" xfId="0" applyFont="1" applyFill="1" applyBorder="1" applyAlignment="1">
      <alignment horizontal="center"/>
    </xf>
    <xf numFmtId="0" fontId="43" fillId="15" borderId="50" xfId="0" applyFont="1" applyFill="1" applyBorder="1" applyAlignment="1">
      <alignment horizontal="center"/>
    </xf>
    <xf numFmtId="0" fontId="9" fillId="0" borderId="48" xfId="0" applyFont="1" applyBorder="1"/>
    <xf numFmtId="0" fontId="0" fillId="0" borderId="49" xfId="0" applyBorder="1"/>
    <xf numFmtId="0" fontId="43" fillId="15" borderId="51" xfId="0" applyFont="1" applyFill="1" applyBorder="1"/>
    <xf numFmtId="0" fontId="43" fillId="15" borderId="47" xfId="0" applyFont="1" applyFill="1" applyBorder="1"/>
    <xf numFmtId="43" fontId="0" fillId="3" borderId="52" xfId="0" applyNumberFormat="1" applyFill="1" applyBorder="1"/>
    <xf numFmtId="43" fontId="0" fillId="3" borderId="53" xfId="0" applyNumberFormat="1" applyFill="1" applyBorder="1"/>
    <xf numFmtId="43" fontId="0" fillId="3" borderId="34" xfId="0" applyNumberFormat="1" applyFill="1" applyBorder="1"/>
    <xf numFmtId="43" fontId="0" fillId="3" borderId="32" xfId="0" applyNumberFormat="1" applyFill="1" applyBorder="1"/>
    <xf numFmtId="43" fontId="41" fillId="3" borderId="54" xfId="0" applyNumberFormat="1" applyFont="1" applyFill="1" applyBorder="1"/>
    <xf numFmtId="43" fontId="41" fillId="3" borderId="55" xfId="0" applyNumberFormat="1" applyFont="1" applyFill="1" applyBorder="1"/>
    <xf numFmtId="43" fontId="42" fillId="15" borderId="21" xfId="0" applyNumberFormat="1" applyFont="1" applyFill="1" applyBorder="1"/>
    <xf numFmtId="43" fontId="42" fillId="15" borderId="22" xfId="0" applyNumberFormat="1" applyFont="1" applyFill="1" applyBorder="1"/>
    <xf numFmtId="0" fontId="42" fillId="15" borderId="43" xfId="0" applyFont="1" applyFill="1" applyBorder="1"/>
    <xf numFmtId="43" fontId="6" fillId="3" borderId="56" xfId="0" applyNumberFormat="1" applyFont="1" applyFill="1" applyBorder="1"/>
    <xf numFmtId="43" fontId="6" fillId="3" borderId="35" xfId="0" applyNumberFormat="1" applyFont="1" applyFill="1" applyBorder="1"/>
    <xf numFmtId="43" fontId="6" fillId="3" borderId="42" xfId="0" applyNumberFormat="1" applyFont="1" applyFill="1" applyBorder="1"/>
    <xf numFmtId="43" fontId="6" fillId="3" borderId="50" xfId="0" applyNumberFormat="1" applyFont="1" applyFill="1" applyBorder="1"/>
    <xf numFmtId="43" fontId="6" fillId="3" borderId="33" xfId="0" applyNumberFormat="1" applyFont="1" applyFill="1" applyBorder="1"/>
    <xf numFmtId="43" fontId="41" fillId="3" borderId="23" xfId="0" applyNumberFormat="1" applyFont="1" applyFill="1" applyBorder="1"/>
    <xf numFmtId="43" fontId="41" fillId="3" borderId="44" xfId="0" applyNumberFormat="1" applyFont="1" applyFill="1" applyBorder="1"/>
    <xf numFmtId="0" fontId="44" fillId="15" borderId="3" xfId="0" applyFont="1" applyFill="1" applyBorder="1" applyAlignment="1">
      <alignment horizontal="center"/>
    </xf>
    <xf numFmtId="0" fontId="44" fillId="15" borderId="3" xfId="0" applyFont="1" applyFill="1" applyBorder="1" applyAlignment="1">
      <alignment horizontal="center" vertical="center"/>
    </xf>
    <xf numFmtId="0" fontId="44" fillId="15" borderId="5" xfId="0" applyFont="1" applyFill="1" applyBorder="1" applyAlignment="1">
      <alignment horizontal="center" vertical="center"/>
    </xf>
    <xf numFmtId="0" fontId="0" fillId="3" borderId="1" xfId="0" applyFill="1" applyBorder="1"/>
    <xf numFmtId="0" fontId="0" fillId="7" borderId="0" xfId="0" applyFill="1" applyAlignment="1">
      <alignment horizontal="center"/>
    </xf>
    <xf numFmtId="0" fontId="9" fillId="7" borderId="0" xfId="0" applyFont="1" applyFill="1" applyAlignment="1">
      <alignment horizontal="right"/>
    </xf>
    <xf numFmtId="0" fontId="0" fillId="7" borderId="0" xfId="0" applyFill="1" applyAlignment="1">
      <alignment horizontal="center" vertical="center"/>
    </xf>
    <xf numFmtId="0" fontId="45" fillId="0" borderId="1" xfId="9" applyBorder="1"/>
    <xf numFmtId="44" fontId="45" fillId="0" borderId="1" xfId="9" applyNumberFormat="1" applyBorder="1" applyAlignment="1">
      <alignment horizontal="center"/>
    </xf>
    <xf numFmtId="0" fontId="45" fillId="0" borderId="1" xfId="9" applyBorder="1" applyAlignment="1">
      <alignment horizontal="center"/>
    </xf>
    <xf numFmtId="8" fontId="45" fillId="0" borderId="1" xfId="2" applyNumberFormat="1" applyFont="1" applyBorder="1"/>
    <xf numFmtId="44" fontId="45" fillId="5" borderId="1" xfId="9" applyNumberFormat="1" applyFill="1" applyBorder="1" applyAlignment="1">
      <alignment horizontal="center"/>
    </xf>
    <xf numFmtId="0" fontId="7" fillId="0" borderId="1" xfId="9" applyFont="1" applyBorder="1"/>
    <xf numFmtId="44" fontId="7" fillId="0" borderId="1" xfId="9" applyNumberFormat="1" applyFont="1" applyBorder="1" applyAlignment="1">
      <alignment horizontal="center"/>
    </xf>
    <xf numFmtId="44" fontId="45" fillId="0" borderId="1" xfId="2" applyFont="1" applyBorder="1"/>
    <xf numFmtId="44" fontId="45" fillId="5" borderId="7" xfId="9" applyNumberFormat="1" applyFill="1" applyBorder="1" applyAlignment="1">
      <alignment horizontal="center"/>
    </xf>
    <xf numFmtId="0" fontId="45" fillId="6" borderId="0" xfId="9" applyFill="1"/>
    <xf numFmtId="167" fontId="45" fillId="6" borderId="17" xfId="9" applyNumberFormat="1" applyFill="1" applyBorder="1"/>
    <xf numFmtId="44" fontId="0" fillId="3" borderId="0" xfId="0" applyNumberFormat="1" applyFill="1"/>
    <xf numFmtId="44" fontId="0" fillId="5" borderId="26" xfId="0" applyNumberFormat="1" applyFill="1" applyBorder="1" applyAlignment="1">
      <alignment horizontal="center"/>
    </xf>
    <xf numFmtId="0" fontId="6" fillId="0" borderId="1" xfId="0" applyFont="1" applyBorder="1" applyAlignment="1">
      <alignment horizontal="center"/>
    </xf>
    <xf numFmtId="0" fontId="46" fillId="0" borderId="1" xfId="0" applyFont="1" applyBorder="1" applyAlignment="1">
      <alignment horizontal="center" vertical="top" wrapText="1"/>
    </xf>
    <xf numFmtId="169" fontId="47" fillId="0" borderId="1" xfId="0" applyNumberFormat="1" applyFont="1" applyBorder="1" applyAlignment="1">
      <alignment horizontal="center" vertical="top" shrinkToFit="1"/>
    </xf>
    <xf numFmtId="0" fontId="0" fillId="0" borderId="1" xfId="0" applyBorder="1" applyAlignment="1">
      <alignment horizontal="left" wrapText="1"/>
    </xf>
    <xf numFmtId="0" fontId="48" fillId="0" borderId="0" xfId="0" applyFont="1"/>
    <xf numFmtId="0" fontId="7" fillId="4" borderId="1" xfId="0" applyFont="1" applyFill="1" applyBorder="1" applyAlignment="1" applyProtection="1">
      <alignment horizontal="center"/>
      <protection locked="0"/>
    </xf>
    <xf numFmtId="0" fontId="7" fillId="4" borderId="1" xfId="0" applyFont="1" applyFill="1" applyBorder="1" applyProtection="1">
      <protection locked="0"/>
    </xf>
    <xf numFmtId="0" fontId="7" fillId="4" borderId="1" xfId="0" applyFont="1" applyFill="1" applyBorder="1" applyAlignment="1" applyProtection="1">
      <alignment horizontal="center" vertical="center"/>
      <protection locked="0"/>
    </xf>
    <xf numFmtId="0" fontId="0" fillId="4" borderId="1" xfId="0" applyFill="1" applyBorder="1" applyAlignment="1" applyProtection="1">
      <alignment horizontal="center"/>
      <protection locked="0"/>
    </xf>
    <xf numFmtId="0" fontId="0" fillId="4" borderId="1" xfId="0" applyFill="1" applyBorder="1" applyAlignment="1" applyProtection="1">
      <alignment horizontal="center" vertical="center"/>
      <protection locked="0"/>
    </xf>
    <xf numFmtId="0" fontId="7" fillId="4" borderId="15" xfId="0" applyFont="1" applyFill="1" applyBorder="1" applyAlignment="1" applyProtection="1">
      <alignment horizontal="center" vertical="center"/>
      <protection locked="0"/>
    </xf>
    <xf numFmtId="43" fontId="0" fillId="4" borderId="35" xfId="0" applyNumberFormat="1" applyFill="1" applyBorder="1" applyProtection="1">
      <protection locked="0"/>
    </xf>
    <xf numFmtId="0" fontId="0" fillId="4" borderId="1" xfId="0" applyFill="1" applyBorder="1" applyAlignment="1" applyProtection="1">
      <alignment horizontal="left"/>
      <protection locked="0"/>
    </xf>
    <xf numFmtId="0" fontId="0" fillId="4" borderId="1" xfId="0" applyFill="1" applyBorder="1" applyProtection="1">
      <protection locked="0"/>
    </xf>
    <xf numFmtId="0" fontId="0" fillId="4" borderId="15" xfId="0" applyFill="1" applyBorder="1" applyAlignment="1" applyProtection="1">
      <alignment horizontal="center" vertical="center"/>
      <protection locked="0"/>
    </xf>
    <xf numFmtId="0" fontId="0" fillId="4" borderId="7" xfId="0" applyFill="1" applyBorder="1" applyAlignment="1" applyProtection="1">
      <alignment horizontal="center"/>
      <protection locked="0"/>
    </xf>
    <xf numFmtId="0" fontId="0" fillId="4" borderId="7" xfId="0" applyFill="1" applyBorder="1" applyAlignment="1" applyProtection="1">
      <alignment horizontal="left"/>
      <protection locked="0"/>
    </xf>
    <xf numFmtId="0" fontId="0" fillId="4" borderId="7" xfId="0" applyFill="1" applyBorder="1" applyProtection="1">
      <protection locked="0"/>
    </xf>
    <xf numFmtId="0" fontId="0" fillId="4" borderId="7" xfId="0" applyFill="1" applyBorder="1" applyAlignment="1" applyProtection="1">
      <alignment horizontal="center" vertical="center"/>
      <protection locked="0"/>
    </xf>
    <xf numFmtId="0" fontId="0" fillId="4" borderId="3" xfId="0" applyFill="1" applyBorder="1" applyAlignment="1" applyProtection="1">
      <alignment horizontal="center" vertical="center"/>
      <protection locked="0"/>
    </xf>
    <xf numFmtId="0" fontId="0" fillId="4" borderId="27" xfId="0" applyFill="1" applyBorder="1" applyAlignment="1" applyProtection="1">
      <alignment horizontal="center" vertical="center"/>
      <protection locked="0"/>
    </xf>
    <xf numFmtId="43" fontId="0" fillId="4" borderId="45" xfId="0" applyNumberFormat="1" applyFill="1" applyBorder="1" applyProtection="1">
      <protection locked="0"/>
    </xf>
    <xf numFmtId="43" fontId="0" fillId="4" borderId="33" xfId="0" applyNumberFormat="1" applyFill="1" applyBorder="1" applyProtection="1">
      <protection locked="0"/>
    </xf>
    <xf numFmtId="43" fontId="0" fillId="4" borderId="46" xfId="0" applyNumberFormat="1" applyFill="1" applyBorder="1" applyProtection="1">
      <protection locked="0"/>
    </xf>
    <xf numFmtId="43" fontId="0" fillId="4" borderId="47" xfId="0" applyNumberFormat="1" applyFill="1" applyBorder="1" applyProtection="1">
      <protection locked="0"/>
    </xf>
    <xf numFmtId="0" fontId="8" fillId="8" borderId="1" xfId="6" applyFont="1" applyFill="1" applyBorder="1" applyAlignment="1" applyProtection="1">
      <alignment horizontal="center"/>
      <protection locked="0"/>
    </xf>
    <xf numFmtId="0" fontId="29" fillId="0" borderId="7" xfId="0" applyFont="1" applyBorder="1" applyAlignment="1" applyProtection="1">
      <alignment horizontal="center"/>
      <protection locked="0"/>
    </xf>
    <xf numFmtId="0" fontId="6" fillId="8" borderId="1" xfId="6" applyFont="1" applyFill="1" applyBorder="1" applyAlignment="1" applyProtection="1">
      <alignment horizontal="center" vertical="center"/>
      <protection locked="0"/>
    </xf>
    <xf numFmtId="0" fontId="6" fillId="8" borderId="2" xfId="6" applyFont="1" applyFill="1" applyBorder="1" applyAlignment="1" applyProtection="1">
      <alignment horizontal="center" vertical="center"/>
      <protection locked="0"/>
    </xf>
    <xf numFmtId="165" fontId="7" fillId="0" borderId="2" xfId="5" applyFont="1" applyFill="1" applyBorder="1" applyAlignment="1" applyProtection="1">
      <alignment horizontal="center" vertical="center"/>
      <protection locked="0"/>
    </xf>
    <xf numFmtId="165" fontId="7" fillId="0" borderId="29" xfId="5" applyFont="1" applyFill="1" applyBorder="1" applyAlignment="1" applyProtection="1">
      <alignment horizontal="center" vertical="center"/>
      <protection locked="0"/>
    </xf>
    <xf numFmtId="0" fontId="27" fillId="0" borderId="1" xfId="0" applyFont="1" applyBorder="1" applyProtection="1">
      <protection locked="0"/>
    </xf>
    <xf numFmtId="0" fontId="6" fillId="0" borderId="1" xfId="0" applyFont="1" applyBorder="1" applyAlignment="1" applyProtection="1">
      <alignment horizontal="center" vertical="center"/>
      <protection locked="0"/>
    </xf>
    <xf numFmtId="0" fontId="32" fillId="0" borderId="1" xfId="0" applyFont="1" applyBorder="1" applyAlignment="1" applyProtection="1">
      <alignment horizontal="center"/>
      <protection locked="0"/>
    </xf>
    <xf numFmtId="0" fontId="8" fillId="8" borderId="1" xfId="0" applyFont="1" applyFill="1" applyBorder="1" applyAlignment="1" applyProtection="1">
      <alignment horizontal="center"/>
      <protection locked="0"/>
    </xf>
    <xf numFmtId="0" fontId="8" fillId="8" borderId="1" xfId="0" applyFont="1" applyFill="1" applyBorder="1" applyAlignment="1" applyProtection="1">
      <alignment horizontal="center" wrapText="1"/>
      <protection locked="0"/>
    </xf>
    <xf numFmtId="0" fontId="20" fillId="8" borderId="1" xfId="0" applyFont="1" applyFill="1" applyBorder="1" applyAlignment="1" applyProtection="1">
      <alignment horizontal="center" wrapText="1"/>
      <protection locked="0"/>
    </xf>
    <xf numFmtId="0" fontId="27" fillId="0" borderId="0" xfId="0" applyFont="1" applyProtection="1">
      <protection locked="0"/>
    </xf>
    <xf numFmtId="0" fontId="34" fillId="0" borderId="0" xfId="0" applyFont="1" applyAlignment="1" applyProtection="1">
      <alignment horizontal="center" vertical="center"/>
      <protection locked="0"/>
    </xf>
    <xf numFmtId="0" fontId="35" fillId="0" borderId="0" xfId="0" applyFont="1" applyProtection="1">
      <protection locked="0"/>
    </xf>
    <xf numFmtId="0" fontId="7" fillId="0" borderId="0" xfId="0" applyFont="1" applyAlignment="1" applyProtection="1">
      <alignment horizontal="center"/>
      <protection locked="0"/>
    </xf>
    <xf numFmtId="0" fontId="0" fillId="0" borderId="0" xfId="0" applyProtection="1">
      <protection locked="0"/>
    </xf>
    <xf numFmtId="0" fontId="7" fillId="0" borderId="0" xfId="0" applyFont="1" applyProtection="1">
      <protection locked="0"/>
    </xf>
    <xf numFmtId="0" fontId="19" fillId="8" borderId="0" xfId="6" applyFont="1" applyFill="1" applyAlignment="1" applyProtection="1">
      <alignment horizontal="left" vertical="center"/>
      <protection locked="0"/>
    </xf>
    <xf numFmtId="0" fontId="0" fillId="7" borderId="0" xfId="0" applyFill="1" applyAlignment="1" applyProtection="1">
      <alignment horizontal="center"/>
      <protection locked="0"/>
    </xf>
    <xf numFmtId="0" fontId="9" fillId="0" borderId="0" xfId="0" applyFont="1" applyAlignment="1" applyProtection="1">
      <alignment horizontal="right"/>
      <protection locked="0"/>
    </xf>
    <xf numFmtId="0" fontId="0" fillId="0" borderId="0" xfId="0" applyAlignment="1" applyProtection="1">
      <alignment horizontal="center" vertical="center"/>
      <protection locked="0"/>
    </xf>
    <xf numFmtId="0" fontId="0" fillId="3" borderId="1" xfId="0" applyFill="1" applyBorder="1" applyAlignment="1" applyProtection="1">
      <alignment horizontal="center"/>
      <protection locked="0"/>
    </xf>
    <xf numFmtId="0" fontId="7" fillId="0" borderId="0" xfId="0" applyFont="1" applyAlignment="1" applyProtection="1">
      <alignment horizontal="left"/>
      <protection locked="0"/>
    </xf>
    <xf numFmtId="0" fontId="0" fillId="0" borderId="0" xfId="0" applyAlignment="1" applyProtection="1">
      <alignment horizontal="center"/>
      <protection locked="0"/>
    </xf>
    <xf numFmtId="0" fontId="9" fillId="7" borderId="0" xfId="0" applyFont="1" applyFill="1" applyAlignment="1" applyProtection="1">
      <alignment horizontal="right"/>
      <protection locked="0"/>
    </xf>
    <xf numFmtId="0" fontId="0" fillId="7" borderId="0" xfId="0" applyFill="1" applyProtection="1">
      <protection locked="0"/>
    </xf>
    <xf numFmtId="0" fontId="0" fillId="14" borderId="1" xfId="0" applyFill="1" applyBorder="1" applyProtection="1">
      <protection locked="0"/>
    </xf>
    <xf numFmtId="0" fontId="0" fillId="3" borderId="1" xfId="0" applyFill="1" applyBorder="1" applyProtection="1">
      <protection locked="0"/>
    </xf>
    <xf numFmtId="0" fontId="6" fillId="0" borderId="0" xfId="0" applyFont="1" applyProtection="1">
      <protection locked="0"/>
    </xf>
    <xf numFmtId="0" fontId="0" fillId="7" borderId="0" xfId="0" applyFill="1" applyAlignment="1" applyProtection="1">
      <alignment horizontal="center" vertical="center"/>
      <protection locked="0"/>
    </xf>
    <xf numFmtId="0" fontId="7" fillId="0" borderId="0" xfId="0" applyFont="1" applyAlignment="1" applyProtection="1">
      <alignment horizontal="center" vertical="center"/>
      <protection locked="0"/>
    </xf>
    <xf numFmtId="0" fontId="9" fillId="0" borderId="48" xfId="0" applyFont="1" applyBorder="1" applyProtection="1">
      <protection locked="0"/>
    </xf>
    <xf numFmtId="0" fontId="0" fillId="0" borderId="49" xfId="0" applyBorder="1" applyProtection="1">
      <protection locked="0"/>
    </xf>
    <xf numFmtId="0" fontId="7" fillId="4" borderId="1" xfId="0" applyFont="1" applyFill="1" applyBorder="1" applyAlignment="1" applyProtection="1">
      <alignment horizontal="left"/>
      <protection locked="0"/>
    </xf>
    <xf numFmtId="43" fontId="0" fillId="0" borderId="0" xfId="0" applyNumberFormat="1" applyProtection="1">
      <protection locked="0"/>
    </xf>
    <xf numFmtId="44" fontId="0" fillId="0" borderId="0" xfId="0" applyNumberFormat="1" applyProtection="1">
      <protection locked="0"/>
    </xf>
    <xf numFmtId="43" fontId="49" fillId="0" borderId="0" xfId="0" applyNumberFormat="1" applyFont="1" applyProtection="1">
      <protection locked="0"/>
    </xf>
    <xf numFmtId="0" fontId="49" fillId="0" borderId="0" xfId="0" applyFont="1" applyProtection="1">
      <protection locked="0"/>
    </xf>
    <xf numFmtId="0" fontId="0" fillId="0" borderId="0" xfId="0" applyAlignment="1" applyProtection="1">
      <alignment horizontal="left"/>
      <protection locked="0"/>
    </xf>
    <xf numFmtId="0" fontId="6" fillId="0" borderId="10" xfId="0" applyFont="1" applyBorder="1" applyAlignment="1" applyProtection="1">
      <alignment horizontal="right"/>
      <protection locked="0"/>
    </xf>
    <xf numFmtId="43" fontId="41" fillId="0" borderId="0" xfId="0" applyNumberFormat="1" applyFont="1" applyProtection="1">
      <protection locked="0"/>
    </xf>
    <xf numFmtId="0" fontId="6" fillId="0" borderId="0" xfId="0" applyFont="1" applyAlignment="1" applyProtection="1">
      <alignment horizontal="right"/>
      <protection locked="0"/>
    </xf>
    <xf numFmtId="43" fontId="42" fillId="15" borderId="21" xfId="0" applyNumberFormat="1" applyFont="1" applyFill="1" applyBorder="1" applyProtection="1">
      <protection locked="0"/>
    </xf>
    <xf numFmtId="43" fontId="42" fillId="15" borderId="22" xfId="0" applyNumberFormat="1" applyFont="1" applyFill="1" applyBorder="1" applyProtection="1">
      <protection locked="0"/>
    </xf>
    <xf numFmtId="0" fontId="6" fillId="0" borderId="0" xfId="0" applyFont="1" applyAlignment="1" applyProtection="1">
      <alignment horizontal="center"/>
      <protection locked="0"/>
    </xf>
    <xf numFmtId="0" fontId="6" fillId="0" borderId="0" xfId="0" applyFont="1" applyAlignment="1" applyProtection="1">
      <alignment horizontal="center" vertical="center"/>
      <protection locked="0"/>
    </xf>
    <xf numFmtId="0" fontId="42" fillId="15" borderId="42" xfId="0" applyFont="1" applyFill="1" applyBorder="1" applyAlignment="1" applyProtection="1">
      <alignment horizontal="center"/>
      <protection locked="0"/>
    </xf>
    <xf numFmtId="0" fontId="42" fillId="15" borderId="43" xfId="0" applyFont="1" applyFill="1" applyBorder="1" applyAlignment="1" applyProtection="1">
      <alignment horizontal="center"/>
      <protection locked="0"/>
    </xf>
    <xf numFmtId="0" fontId="42" fillId="15" borderId="43" xfId="0" applyFont="1" applyFill="1" applyBorder="1" applyProtection="1">
      <protection locked="0"/>
    </xf>
    <xf numFmtId="0" fontId="0" fillId="0" borderId="0" xfId="0" applyAlignment="1" applyProtection="1">
      <alignment horizontal="right"/>
      <protection locked="0"/>
    </xf>
    <xf numFmtId="43" fontId="7" fillId="4" borderId="45" xfId="0" applyNumberFormat="1" applyFont="1" applyFill="1" applyBorder="1" applyProtection="1">
      <protection locked="0"/>
    </xf>
    <xf numFmtId="0" fontId="7" fillId="0" borderId="0" xfId="0" applyFont="1" applyAlignment="1" applyProtection="1">
      <alignment horizontal="right"/>
      <protection locked="0"/>
    </xf>
    <xf numFmtId="43" fontId="7" fillId="0" borderId="0" xfId="0" applyNumberFormat="1" applyFont="1" applyProtection="1">
      <protection locked="0"/>
    </xf>
    <xf numFmtId="43" fontId="40" fillId="0" borderId="0" xfId="0" applyNumberFormat="1" applyFont="1" applyAlignment="1" applyProtection="1">
      <alignment horizontal="center"/>
      <protection locked="0"/>
    </xf>
    <xf numFmtId="43" fontId="6" fillId="3" borderId="45" xfId="0" applyNumberFormat="1" applyFont="1" applyFill="1" applyBorder="1" applyAlignment="1">
      <alignment horizontal="right"/>
    </xf>
    <xf numFmtId="0" fontId="27" fillId="3" borderId="0" xfId="0" applyFont="1" applyFill="1" applyProtection="1">
      <protection locked="0"/>
    </xf>
    <xf numFmtId="0" fontId="13" fillId="8" borderId="0" xfId="6" applyFont="1" applyFill="1" applyProtection="1">
      <protection locked="0"/>
    </xf>
    <xf numFmtId="0" fontId="13" fillId="8" borderId="0" xfId="6" applyFont="1" applyFill="1" applyAlignment="1" applyProtection="1">
      <alignment horizontal="right"/>
      <protection locked="0"/>
    </xf>
    <xf numFmtId="0" fontId="8" fillId="8" borderId="21" xfId="6" applyFont="1" applyFill="1" applyBorder="1" applyAlignment="1" applyProtection="1">
      <alignment horizontal="center"/>
      <protection locked="0"/>
    </xf>
    <xf numFmtId="0" fontId="8" fillId="8" borderId="0" xfId="6" applyFont="1" applyFill="1" applyAlignment="1" applyProtection="1">
      <alignment horizontal="center"/>
      <protection locked="0"/>
    </xf>
    <xf numFmtId="0" fontId="8" fillId="8" borderId="0" xfId="6" applyFont="1" applyFill="1" applyProtection="1">
      <protection locked="0"/>
    </xf>
    <xf numFmtId="0" fontId="17" fillId="8" borderId="0" xfId="6" applyFont="1" applyFill="1" applyAlignment="1" applyProtection="1">
      <alignment horizontal="right"/>
      <protection locked="0"/>
    </xf>
    <xf numFmtId="0" fontId="13" fillId="8" borderId="14" xfId="6" applyFont="1" applyFill="1" applyBorder="1" applyAlignment="1" applyProtection="1">
      <alignment horizontal="center"/>
      <protection locked="0"/>
    </xf>
    <xf numFmtId="0" fontId="13" fillId="8" borderId="33" xfId="6" applyFont="1" applyFill="1" applyBorder="1" applyAlignment="1" applyProtection="1">
      <alignment horizontal="center"/>
      <protection locked="0"/>
    </xf>
    <xf numFmtId="0" fontId="18" fillId="8" borderId="35" xfId="6" applyFont="1" applyFill="1" applyBorder="1" applyAlignment="1" applyProtection="1">
      <alignment horizontal="center" vertical="center"/>
      <protection locked="0"/>
    </xf>
    <xf numFmtId="0" fontId="19" fillId="8" borderId="36" xfId="6" applyFont="1" applyFill="1" applyBorder="1" applyAlignment="1" applyProtection="1">
      <alignment horizontal="left" vertical="center"/>
      <protection locked="0"/>
    </xf>
    <xf numFmtId="0" fontId="19" fillId="8" borderId="37" xfId="6" applyFont="1" applyFill="1" applyBorder="1" applyAlignment="1" applyProtection="1">
      <alignment horizontal="left"/>
      <protection locked="0"/>
    </xf>
    <xf numFmtId="0" fontId="6" fillId="8" borderId="35" xfId="6" applyFont="1" applyFill="1" applyBorder="1" applyAlignment="1" applyProtection="1">
      <alignment horizontal="center" vertical="center"/>
      <protection locked="0"/>
    </xf>
    <xf numFmtId="0" fontId="19" fillId="8" borderId="22" xfId="6" applyFont="1" applyFill="1" applyBorder="1" applyAlignment="1" applyProtection="1">
      <alignment horizontal="left"/>
      <protection locked="0"/>
    </xf>
    <xf numFmtId="0" fontId="19" fillId="8" borderId="14" xfId="6" applyFont="1" applyFill="1" applyBorder="1" applyAlignment="1" applyProtection="1">
      <alignment vertical="center"/>
      <protection locked="0"/>
    </xf>
    <xf numFmtId="0" fontId="18" fillId="8" borderId="0" xfId="6" applyFont="1" applyFill="1" applyAlignment="1" applyProtection="1">
      <alignment horizontal="left"/>
      <protection locked="0"/>
    </xf>
    <xf numFmtId="0" fontId="6" fillId="8" borderId="0" xfId="6" applyFont="1" applyFill="1" applyAlignment="1" applyProtection="1">
      <alignment horizontal="right"/>
      <protection locked="0"/>
    </xf>
    <xf numFmtId="0" fontId="8" fillId="10" borderId="34" xfId="6" applyFont="1" applyFill="1" applyBorder="1" applyProtection="1">
      <protection locked="0"/>
    </xf>
    <xf numFmtId="0" fontId="20" fillId="10" borderId="16" xfId="6" applyFont="1" applyFill="1" applyBorder="1" applyProtection="1">
      <protection locked="0"/>
    </xf>
    <xf numFmtId="0" fontId="6" fillId="8" borderId="21" xfId="6" applyFont="1" applyFill="1" applyBorder="1" applyAlignment="1" applyProtection="1">
      <alignment horizontal="right"/>
      <protection locked="0"/>
    </xf>
    <xf numFmtId="167" fontId="17" fillId="8" borderId="0" xfId="5" applyNumberFormat="1" applyFont="1" applyFill="1" applyProtection="1">
      <protection locked="0"/>
    </xf>
    <xf numFmtId="165" fontId="12" fillId="8" borderId="0" xfId="5" applyFont="1" applyFill="1" applyProtection="1">
      <protection locked="0"/>
    </xf>
    <xf numFmtId="10" fontId="17" fillId="8" borderId="0" xfId="6" applyNumberFormat="1" applyFont="1" applyFill="1" applyProtection="1">
      <protection locked="0"/>
    </xf>
    <xf numFmtId="0" fontId="12" fillId="8" borderId="0" xfId="6" applyFont="1" applyFill="1" applyProtection="1">
      <protection locked="0"/>
    </xf>
    <xf numFmtId="165" fontId="12" fillId="8" borderId="22" xfId="5" applyFont="1" applyFill="1" applyBorder="1" applyProtection="1">
      <protection locked="0"/>
    </xf>
    <xf numFmtId="4" fontId="17" fillId="8" borderId="0" xfId="6" applyNumberFormat="1" applyFont="1" applyFill="1" applyProtection="1">
      <protection locked="0"/>
    </xf>
    <xf numFmtId="0" fontId="17" fillId="8" borderId="0" xfId="6" applyFont="1" applyFill="1" applyProtection="1">
      <protection locked="0"/>
    </xf>
    <xf numFmtId="0" fontId="12" fillId="8" borderId="22" xfId="6" applyFont="1" applyFill="1" applyBorder="1" applyProtection="1">
      <protection locked="0"/>
    </xf>
    <xf numFmtId="0" fontId="17" fillId="8" borderId="21" xfId="6" applyFont="1" applyFill="1" applyBorder="1" applyProtection="1">
      <protection locked="0"/>
    </xf>
    <xf numFmtId="0" fontId="20" fillId="10" borderId="14" xfId="6" applyFont="1" applyFill="1" applyBorder="1" applyProtection="1">
      <protection locked="0"/>
    </xf>
    <xf numFmtId="0" fontId="20" fillId="10" borderId="32" xfId="6" applyFont="1" applyFill="1" applyBorder="1" applyProtection="1">
      <protection locked="0"/>
    </xf>
    <xf numFmtId="0" fontId="27" fillId="7" borderId="0" xfId="0" applyFont="1" applyFill="1" applyProtection="1">
      <protection locked="0"/>
    </xf>
    <xf numFmtId="0" fontId="10" fillId="8" borderId="36" xfId="0" applyFont="1" applyFill="1" applyBorder="1" applyAlignment="1" applyProtection="1">
      <alignment horizontal="left" vertical="center" indent="3"/>
      <protection locked="0"/>
    </xf>
    <xf numFmtId="0" fontId="10" fillId="8" borderId="36" xfId="0" applyFont="1" applyFill="1" applyBorder="1" applyAlignment="1" applyProtection="1">
      <alignment horizontal="left" vertical="center"/>
      <protection locked="0"/>
    </xf>
    <xf numFmtId="0" fontId="19" fillId="8" borderId="0" xfId="0" applyFont="1" applyFill="1" applyAlignment="1" applyProtection="1">
      <alignment horizontal="left" vertical="center"/>
      <protection locked="0"/>
    </xf>
    <xf numFmtId="0" fontId="19" fillId="8" borderId="22" xfId="0" applyFont="1" applyFill="1" applyBorder="1" applyAlignment="1" applyProtection="1">
      <alignment horizontal="left" vertical="center"/>
      <protection locked="0"/>
    </xf>
    <xf numFmtId="0" fontId="27" fillId="8" borderId="14" xfId="0" applyFont="1" applyFill="1" applyBorder="1" applyProtection="1">
      <protection locked="0"/>
    </xf>
    <xf numFmtId="0" fontId="27" fillId="8" borderId="0" xfId="0" applyFont="1" applyFill="1" applyProtection="1">
      <protection locked="0"/>
    </xf>
    <xf numFmtId="0" fontId="10" fillId="8" borderId="0" xfId="0" applyFont="1" applyFill="1" applyAlignment="1" applyProtection="1">
      <alignment horizontal="left" vertical="center" indent="3"/>
      <protection locked="0"/>
    </xf>
    <xf numFmtId="0" fontId="10" fillId="8" borderId="0" xfId="0" applyFont="1" applyFill="1" applyAlignment="1" applyProtection="1">
      <alignment horizontal="left" vertical="center"/>
      <protection locked="0"/>
    </xf>
    <xf numFmtId="0" fontId="19" fillId="8" borderId="14" xfId="0" applyFont="1" applyFill="1" applyBorder="1" applyAlignment="1" applyProtection="1">
      <alignment horizontal="left" vertical="center"/>
      <protection locked="0"/>
    </xf>
    <xf numFmtId="0" fontId="19" fillId="8" borderId="33" xfId="0" applyFont="1" applyFill="1" applyBorder="1" applyAlignment="1" applyProtection="1">
      <alignment horizontal="left" vertical="center"/>
      <protection locked="0"/>
    </xf>
    <xf numFmtId="0" fontId="20" fillId="11" borderId="39" xfId="6" applyFont="1" applyFill="1" applyBorder="1" applyAlignment="1" applyProtection="1">
      <alignment horizontal="left"/>
      <protection locked="0"/>
    </xf>
    <xf numFmtId="0" fontId="20" fillId="11" borderId="14" xfId="6" applyFont="1" applyFill="1" applyBorder="1" applyAlignment="1" applyProtection="1">
      <alignment horizontal="left"/>
      <protection locked="0"/>
    </xf>
    <xf numFmtId="0" fontId="20" fillId="11" borderId="33" xfId="6" applyFont="1" applyFill="1" applyBorder="1" applyAlignment="1" applyProtection="1">
      <alignment horizontal="left"/>
      <protection locked="0"/>
    </xf>
    <xf numFmtId="0" fontId="7" fillId="8" borderId="0" xfId="0" applyFont="1" applyFill="1" applyAlignment="1" applyProtection="1">
      <alignment horizontal="center"/>
      <protection locked="0"/>
    </xf>
    <xf numFmtId="0" fontId="35" fillId="8" borderId="0" xfId="0" applyFont="1" applyFill="1" applyProtection="1">
      <protection locked="0"/>
    </xf>
    <xf numFmtId="0" fontId="35" fillId="8" borderId="22" xfId="0" applyFont="1" applyFill="1" applyBorder="1" applyProtection="1">
      <protection locked="0"/>
    </xf>
    <xf numFmtId="0" fontId="25" fillId="8" borderId="0" xfId="0" applyFont="1" applyFill="1" applyAlignment="1" applyProtection="1">
      <alignment horizontal="left" wrapText="1"/>
      <protection locked="0"/>
    </xf>
    <xf numFmtId="0" fontId="27" fillId="8" borderId="22" xfId="0" applyFont="1" applyFill="1" applyBorder="1" applyProtection="1">
      <protection locked="0"/>
    </xf>
    <xf numFmtId="0" fontId="25" fillId="8" borderId="16" xfId="6" applyFont="1" applyFill="1" applyBorder="1" applyAlignment="1" applyProtection="1">
      <alignment horizontal="left"/>
      <protection locked="0"/>
    </xf>
    <xf numFmtId="0" fontId="12" fillId="8" borderId="16" xfId="0" applyFont="1" applyFill="1" applyBorder="1" applyProtection="1">
      <protection locked="0"/>
    </xf>
    <xf numFmtId="165" fontId="13" fillId="8" borderId="16" xfId="5" applyFont="1" applyFill="1" applyBorder="1" applyProtection="1">
      <protection locked="0"/>
    </xf>
    <xf numFmtId="165" fontId="12" fillId="8" borderId="36" xfId="5" applyFont="1" applyFill="1" applyBorder="1" applyAlignment="1" applyProtection="1">
      <alignment horizontal="right"/>
      <protection locked="0"/>
    </xf>
    <xf numFmtId="0" fontId="19" fillId="8" borderId="16" xfId="0" applyFont="1" applyFill="1" applyBorder="1" applyAlignment="1" applyProtection="1">
      <alignment horizontal="left"/>
      <protection locked="0"/>
    </xf>
    <xf numFmtId="165" fontId="12" fillId="8" borderId="36" xfId="5" applyFont="1" applyFill="1" applyBorder="1" applyAlignment="1" applyProtection="1">
      <alignment horizontal="right" indent="1"/>
      <protection locked="0"/>
    </xf>
    <xf numFmtId="0" fontId="25" fillId="8" borderId="37" xfId="6" applyFont="1" applyFill="1" applyBorder="1" applyAlignment="1" applyProtection="1">
      <alignment horizontal="left"/>
      <protection locked="0"/>
    </xf>
    <xf numFmtId="0" fontId="25" fillId="8" borderId="14" xfId="6" applyFont="1" applyFill="1" applyBorder="1" applyAlignment="1" applyProtection="1">
      <alignment horizontal="left"/>
      <protection locked="0"/>
    </xf>
    <xf numFmtId="0" fontId="12" fillId="8" borderId="14" xfId="0" applyFont="1" applyFill="1" applyBorder="1" applyProtection="1">
      <protection locked="0"/>
    </xf>
    <xf numFmtId="165" fontId="13" fillId="8" borderId="14" xfId="5" applyFont="1" applyFill="1" applyBorder="1" applyProtection="1">
      <protection locked="0"/>
    </xf>
    <xf numFmtId="165" fontId="12" fillId="8" borderId="0" xfId="5" applyFont="1" applyFill="1" applyAlignment="1" applyProtection="1">
      <alignment horizontal="right"/>
      <protection locked="0"/>
    </xf>
    <xf numFmtId="0" fontId="19" fillId="8" borderId="14" xfId="0" applyFont="1" applyFill="1" applyBorder="1" applyProtection="1">
      <protection locked="0"/>
    </xf>
    <xf numFmtId="165" fontId="12" fillId="8" borderId="0" xfId="5" applyFont="1" applyFill="1" applyAlignment="1" applyProtection="1">
      <alignment horizontal="right" indent="1"/>
      <protection locked="0"/>
    </xf>
    <xf numFmtId="0" fontId="25" fillId="8" borderId="22" xfId="6" applyFont="1" applyFill="1" applyBorder="1" applyAlignment="1" applyProtection="1">
      <alignment horizontal="left"/>
      <protection locked="0"/>
    </xf>
    <xf numFmtId="165" fontId="17" fillId="8" borderId="21" xfId="5" applyFont="1" applyFill="1" applyBorder="1" applyAlignment="1" applyProtection="1">
      <alignment vertical="center" wrapText="1"/>
      <protection locked="0"/>
    </xf>
    <xf numFmtId="165" fontId="17" fillId="8" borderId="0" xfId="5" applyFont="1" applyFill="1" applyAlignment="1" applyProtection="1">
      <alignment vertical="center" wrapText="1"/>
      <protection locked="0"/>
    </xf>
    <xf numFmtId="10" fontId="12" fillId="8" borderId="0" xfId="4" applyNumberFormat="1" applyFont="1" applyFill="1" applyBorder="1" applyAlignment="1" applyProtection="1">
      <alignment horizontal="left" vertical="center" wrapText="1" indent="1"/>
      <protection locked="0"/>
    </xf>
    <xf numFmtId="165" fontId="12" fillId="8" borderId="0" xfId="5" applyFont="1" applyFill="1" applyAlignment="1" applyProtection="1">
      <alignment horizontal="left" vertical="center" wrapText="1" indent="1"/>
      <protection locked="0"/>
    </xf>
    <xf numFmtId="165" fontId="12" fillId="8" borderId="0" xfId="5" applyFont="1" applyFill="1" applyAlignment="1" applyProtection="1">
      <alignment horizontal="left" vertical="center" wrapText="1"/>
      <protection locked="0"/>
    </xf>
    <xf numFmtId="165" fontId="12" fillId="8" borderId="22" xfId="5" applyFont="1" applyFill="1" applyBorder="1" applyAlignment="1" applyProtection="1">
      <alignment horizontal="left" vertical="center" wrapText="1"/>
      <protection locked="0"/>
    </xf>
    <xf numFmtId="0" fontId="6" fillId="9" borderId="1" xfId="6" applyFont="1" applyFill="1" applyBorder="1"/>
    <xf numFmtId="0" fontId="19" fillId="8" borderId="1" xfId="6" applyFont="1" applyFill="1" applyBorder="1" applyAlignment="1">
      <alignment horizontal="left" vertical="center"/>
    </xf>
    <xf numFmtId="0" fontId="20" fillId="8" borderId="1" xfId="6" applyFont="1" applyFill="1" applyBorder="1" applyAlignment="1">
      <alignment horizontal="left"/>
    </xf>
    <xf numFmtId="0" fontId="19" fillId="8" borderId="16" xfId="6" applyFont="1" applyFill="1" applyBorder="1" applyAlignment="1">
      <alignment horizontal="left" vertical="center"/>
    </xf>
    <xf numFmtId="0" fontId="19" fillId="8" borderId="26" xfId="6" applyFont="1" applyFill="1" applyBorder="1" applyAlignment="1">
      <alignment horizontal="left" vertical="center"/>
    </xf>
    <xf numFmtId="0" fontId="20" fillId="10" borderId="16" xfId="6" applyFont="1" applyFill="1" applyBorder="1"/>
    <xf numFmtId="0" fontId="8" fillId="13" borderId="21" xfId="6" applyFont="1" applyFill="1" applyBorder="1"/>
    <xf numFmtId="0" fontId="8" fillId="13" borderId="0" xfId="6" applyFont="1" applyFill="1" applyAlignment="1">
      <alignment horizontal="right"/>
    </xf>
    <xf numFmtId="0" fontId="6" fillId="9" borderId="21" xfId="8" applyFont="1" applyFill="1" applyBorder="1" applyAlignment="1">
      <alignment horizontal="right" vertical="center" wrapText="1"/>
    </xf>
    <xf numFmtId="0" fontId="25" fillId="9" borderId="0" xfId="0" applyFont="1" applyFill="1" applyAlignment="1">
      <alignment horizontal="left" wrapText="1"/>
    </xf>
    <xf numFmtId="0" fontId="26" fillId="12" borderId="14" xfId="6" applyFont="1" applyFill="1" applyBorder="1" applyAlignment="1">
      <alignment horizontal="center"/>
    </xf>
    <xf numFmtId="0" fontId="26" fillId="12" borderId="14" xfId="0" applyFont="1" applyFill="1" applyBorder="1" applyAlignment="1">
      <alignment horizontal="center" wrapText="1"/>
    </xf>
    <xf numFmtId="0" fontId="20" fillId="12" borderId="14" xfId="6" applyFont="1" applyFill="1" applyBorder="1" applyAlignment="1">
      <alignment horizontal="left" vertical="top" wrapText="1"/>
    </xf>
    <xf numFmtId="0" fontId="20" fillId="12" borderId="33" xfId="6" applyFont="1" applyFill="1" applyBorder="1" applyAlignment="1">
      <alignment horizontal="left" vertical="top" wrapText="1"/>
    </xf>
    <xf numFmtId="43" fontId="7" fillId="4" borderId="35" xfId="0" applyNumberFormat="1" applyFont="1" applyFill="1" applyBorder="1" applyProtection="1">
      <protection locked="0"/>
    </xf>
    <xf numFmtId="43" fontId="7" fillId="3" borderId="31" xfId="0" applyNumberFormat="1" applyFont="1" applyFill="1" applyBorder="1"/>
    <xf numFmtId="43" fontId="7" fillId="3" borderId="52" xfId="0" applyNumberFormat="1" applyFont="1" applyFill="1" applyBorder="1"/>
    <xf numFmtId="43" fontId="7" fillId="3" borderId="53" xfId="0" applyNumberFormat="1" applyFont="1" applyFill="1" applyBorder="1"/>
    <xf numFmtId="43" fontId="7" fillId="3" borderId="34" xfId="0" applyNumberFormat="1" applyFont="1" applyFill="1" applyBorder="1"/>
    <xf numFmtId="43" fontId="7" fillId="3" borderId="32" xfId="0" applyNumberFormat="1" applyFont="1" applyFill="1" applyBorder="1"/>
    <xf numFmtId="43" fontId="6" fillId="3" borderId="54" xfId="0" applyNumberFormat="1" applyFont="1" applyFill="1" applyBorder="1"/>
    <xf numFmtId="43" fontId="6" fillId="3" borderId="55" xfId="0" applyNumberFormat="1" applyFont="1" applyFill="1" applyBorder="1"/>
    <xf numFmtId="43" fontId="0" fillId="15" borderId="33" xfId="0" applyNumberFormat="1" applyFill="1" applyBorder="1"/>
    <xf numFmtId="43" fontId="0" fillId="15" borderId="47" xfId="0" applyNumberFormat="1" applyFill="1" applyBorder="1"/>
    <xf numFmtId="0" fontId="5" fillId="0" borderId="18" xfId="10" applyBorder="1"/>
    <xf numFmtId="0" fontId="5" fillId="0" borderId="19" xfId="10" applyBorder="1"/>
    <xf numFmtId="0" fontId="5" fillId="0" borderId="20" xfId="10" applyBorder="1"/>
    <xf numFmtId="0" fontId="5" fillId="0" borderId="0" xfId="10"/>
    <xf numFmtId="0" fontId="5" fillId="0" borderId="21" xfId="10" applyBorder="1"/>
    <xf numFmtId="0" fontId="5" fillId="0" borderId="22" xfId="10" applyBorder="1"/>
    <xf numFmtId="0" fontId="51" fillId="0" borderId="21" xfId="10" applyFont="1" applyBorder="1"/>
    <xf numFmtId="0" fontId="51" fillId="0" borderId="0" xfId="10" applyFont="1"/>
    <xf numFmtId="0" fontId="51" fillId="0" borderId="0" xfId="10" applyFont="1" applyAlignment="1">
      <alignment horizontal="right"/>
    </xf>
    <xf numFmtId="0" fontId="51" fillId="0" borderId="14" xfId="10" applyFont="1" applyBorder="1" applyAlignment="1" applyProtection="1">
      <alignment horizontal="center"/>
      <protection locked="0"/>
    </xf>
    <xf numFmtId="0" fontId="51" fillId="0" borderId="22" xfId="10" applyFont="1" applyBorder="1"/>
    <xf numFmtId="0" fontId="51" fillId="0" borderId="0" xfId="10" applyFont="1" applyAlignment="1">
      <alignment horizontal="center"/>
    </xf>
    <xf numFmtId="0" fontId="51" fillId="0" borderId="14" xfId="10" applyFont="1" applyBorder="1" applyAlignment="1" applyProtection="1">
      <alignment horizontal="left" indent="1"/>
      <protection locked="0"/>
    </xf>
    <xf numFmtId="0" fontId="51" fillId="0" borderId="0" xfId="10" applyFont="1" applyAlignment="1" applyProtection="1">
      <alignment horizontal="left" indent="1"/>
      <protection locked="0"/>
    </xf>
    <xf numFmtId="0" fontId="52" fillId="0" borderId="0" xfId="10" applyFont="1"/>
    <xf numFmtId="0" fontId="51" fillId="0" borderId="0" xfId="10" applyFont="1" applyAlignment="1" applyProtection="1">
      <alignment horizontal="center"/>
      <protection locked="0"/>
    </xf>
    <xf numFmtId="0" fontId="51" fillId="0" borderId="14" xfId="10" applyFont="1" applyBorder="1"/>
    <xf numFmtId="0" fontId="51" fillId="0" borderId="0" xfId="10" applyFont="1" applyAlignment="1">
      <alignment horizontal="left"/>
    </xf>
    <xf numFmtId="0" fontId="51" fillId="0" borderId="0" xfId="10" applyFont="1" applyProtection="1">
      <protection locked="0"/>
    </xf>
    <xf numFmtId="0" fontId="51" fillId="0" borderId="14" xfId="10" applyFont="1" applyBorder="1" applyProtection="1">
      <protection locked="0"/>
    </xf>
    <xf numFmtId="0" fontId="51" fillId="0" borderId="16" xfId="10" applyFont="1" applyBorder="1"/>
    <xf numFmtId="0" fontId="51" fillId="0" borderId="16" xfId="10" applyFont="1" applyBorder="1" applyAlignment="1" applyProtection="1">
      <alignment horizontal="left" indent="1"/>
      <protection locked="0"/>
    </xf>
    <xf numFmtId="0" fontId="53" fillId="0" borderId="0" xfId="10" applyFont="1"/>
    <xf numFmtId="0" fontId="51" fillId="0" borderId="1" xfId="10" applyFont="1" applyBorder="1" applyAlignment="1" applyProtection="1">
      <alignment horizontal="center"/>
      <protection locked="0"/>
    </xf>
    <xf numFmtId="0" fontId="51" fillId="0" borderId="0" xfId="10" applyFont="1" applyAlignment="1">
      <alignment horizontal="left" indent="2"/>
    </xf>
    <xf numFmtId="0" fontId="51" fillId="0" borderId="0" xfId="10" applyFont="1" applyAlignment="1">
      <alignment horizontal="left" indent="3"/>
    </xf>
    <xf numFmtId="0" fontId="51" fillId="0" borderId="21" xfId="10" applyFont="1" applyBorder="1" applyAlignment="1">
      <alignment horizontal="left" indent="2"/>
    </xf>
    <xf numFmtId="0" fontId="51" fillId="0" borderId="0" xfId="10" applyFont="1" applyAlignment="1">
      <alignment horizontal="left" indent="5"/>
    </xf>
    <xf numFmtId="0" fontId="56" fillId="0" borderId="0" xfId="10" applyFont="1" applyAlignment="1">
      <alignment horizontal="left"/>
    </xf>
    <xf numFmtId="0" fontId="51" fillId="0" borderId="22" xfId="10" applyFont="1" applyBorder="1" applyAlignment="1">
      <alignment horizontal="left" indent="2"/>
    </xf>
    <xf numFmtId="0" fontId="51" fillId="0" borderId="0" xfId="10" applyFont="1" applyAlignment="1" applyProtection="1">
      <alignment horizontal="center" wrapText="1"/>
      <protection locked="0"/>
    </xf>
    <xf numFmtId="0" fontId="5" fillId="0" borderId="23" xfId="10" applyBorder="1"/>
    <xf numFmtId="0" fontId="5" fillId="0" borderId="24" xfId="10" applyBorder="1"/>
    <xf numFmtId="0" fontId="5" fillId="0" borderId="25" xfId="10" applyBorder="1"/>
    <xf numFmtId="0" fontId="4" fillId="0" borderId="0" xfId="10" applyFont="1"/>
    <xf numFmtId="0" fontId="51" fillId="17" borderId="0" xfId="10" applyFont="1" applyFill="1"/>
    <xf numFmtId="0" fontId="4" fillId="16" borderId="0" xfId="10" applyFont="1" applyFill="1"/>
    <xf numFmtId="0" fontId="58" fillId="0" borderId="0" xfId="10" applyFont="1" applyAlignment="1" applyProtection="1">
      <alignment horizontal="center" wrapText="1"/>
      <protection locked="0"/>
    </xf>
    <xf numFmtId="0" fontId="57" fillId="0" borderId="0" xfId="10" applyFont="1" applyAlignment="1">
      <alignment horizontal="left" vertical="center" indent="2"/>
    </xf>
    <xf numFmtId="44" fontId="51" fillId="0" borderId="0" xfId="10" applyNumberFormat="1" applyFont="1"/>
    <xf numFmtId="0" fontId="51" fillId="0" borderId="1" xfId="10" applyFont="1" applyBorder="1" applyAlignment="1">
      <alignment horizontal="center"/>
    </xf>
    <xf numFmtId="0" fontId="51" fillId="0" borderId="0" xfId="10" quotePrefix="1" applyFont="1"/>
    <xf numFmtId="44" fontId="51" fillId="0" borderId="0" xfId="10" applyNumberFormat="1" applyFont="1" applyAlignment="1">
      <alignment horizontal="left"/>
    </xf>
    <xf numFmtId="0" fontId="24" fillId="0" borderId="0" xfId="11" applyFill="1" applyProtection="1">
      <protection hidden="1"/>
    </xf>
    <xf numFmtId="0" fontId="24" fillId="0" borderId="0" xfId="11" applyFill="1" applyAlignment="1" applyProtection="1">
      <alignment horizontal="center"/>
      <protection hidden="1"/>
    </xf>
    <xf numFmtId="44" fontId="0" fillId="0" borderId="0" xfId="2" applyFont="1" applyFill="1" applyBorder="1" applyProtection="1">
      <protection hidden="1"/>
    </xf>
    <xf numFmtId="0" fontId="9" fillId="0" borderId="0" xfId="11" applyFont="1" applyFill="1" applyAlignment="1" applyProtection="1">
      <alignment horizontal="center"/>
      <protection hidden="1"/>
    </xf>
    <xf numFmtId="0" fontId="23" fillId="0" borderId="0" xfId="11" applyFont="1" applyFill="1" applyAlignment="1" applyProtection="1">
      <alignment horizontal="center"/>
      <protection hidden="1"/>
    </xf>
    <xf numFmtId="44" fontId="23" fillId="0" borderId="0" xfId="2" applyFont="1" applyFill="1" applyBorder="1" applyAlignment="1" applyProtection="1">
      <alignment horizontal="center"/>
      <protection hidden="1"/>
    </xf>
    <xf numFmtId="43" fontId="0" fillId="0" borderId="0" xfId="13" applyFont="1" applyFill="1" applyBorder="1" applyProtection="1">
      <protection hidden="1"/>
    </xf>
    <xf numFmtId="43" fontId="66" fillId="0" borderId="1" xfId="13" applyFont="1" applyFill="1" applyBorder="1" applyProtection="1">
      <protection locked="0"/>
    </xf>
    <xf numFmtId="0" fontId="24" fillId="19" borderId="15" xfId="11" applyFill="1" applyBorder="1" applyProtection="1">
      <protection hidden="1"/>
    </xf>
    <xf numFmtId="43" fontId="0" fillId="19" borderId="16" xfId="13" applyFont="1" applyFill="1" applyBorder="1" applyProtection="1">
      <protection hidden="1"/>
    </xf>
    <xf numFmtId="0" fontId="24" fillId="19" borderId="16" xfId="11" applyFill="1" applyBorder="1" applyProtection="1">
      <protection hidden="1"/>
    </xf>
    <xf numFmtId="164" fontId="0" fillId="19" borderId="16" xfId="17" applyNumberFormat="1" applyFont="1" applyFill="1" applyBorder="1" applyProtection="1">
      <protection hidden="1"/>
    </xf>
    <xf numFmtId="44" fontId="0" fillId="19" borderId="26" xfId="2" applyFont="1" applyFill="1" applyBorder="1" applyProtection="1">
      <protection hidden="1"/>
    </xf>
    <xf numFmtId="164" fontId="0" fillId="0" borderId="0" xfId="2" applyNumberFormat="1" applyFont="1" applyFill="1" applyBorder="1" applyProtection="1">
      <protection hidden="1"/>
    </xf>
    <xf numFmtId="0" fontId="23" fillId="0" borderId="0" xfId="11" applyFont="1" applyFill="1" applyProtection="1">
      <protection hidden="1"/>
    </xf>
    <xf numFmtId="44" fontId="24" fillId="0" borderId="0" xfId="2" applyFont="1" applyFill="1" applyBorder="1" applyAlignment="1" applyProtection="1">
      <alignment horizontal="center"/>
      <protection hidden="1"/>
    </xf>
    <xf numFmtId="164" fontId="67" fillId="0" borderId="0" xfId="2" applyNumberFormat="1" applyFont="1" applyFill="1" applyBorder="1" applyProtection="1">
      <protection hidden="1"/>
    </xf>
    <xf numFmtId="164" fontId="24" fillId="0" borderId="0" xfId="11" applyNumberFormat="1" applyFill="1" applyProtection="1">
      <protection hidden="1"/>
    </xf>
    <xf numFmtId="44" fontId="24" fillId="0" borderId="0" xfId="11" applyNumberFormat="1" applyFill="1" applyProtection="1">
      <protection hidden="1"/>
    </xf>
    <xf numFmtId="10" fontId="0" fillId="0" borderId="0" xfId="19" applyNumberFormat="1" applyFont="1" applyFill="1" applyBorder="1" applyAlignment="1" applyProtection="1">
      <alignment horizontal="center"/>
      <protection hidden="1"/>
    </xf>
    <xf numFmtId="43" fontId="24" fillId="0" borderId="0" xfId="11" applyNumberFormat="1" applyFill="1" applyProtection="1">
      <protection hidden="1"/>
    </xf>
    <xf numFmtId="44" fontId="68" fillId="3" borderId="0" xfId="2" applyFont="1" applyFill="1" applyBorder="1" applyProtection="1">
      <protection hidden="1"/>
    </xf>
    <xf numFmtId="44" fontId="0" fillId="3" borderId="0" xfId="2" applyFont="1" applyFill="1" applyBorder="1" applyProtection="1">
      <protection hidden="1"/>
    </xf>
    <xf numFmtId="44" fontId="24" fillId="3" borderId="0" xfId="11" applyNumberFormat="1" applyFill="1" applyProtection="1">
      <protection hidden="1"/>
    </xf>
    <xf numFmtId="0" fontId="69" fillId="3" borderId="0" xfId="12" applyFont="1" applyFill="1" applyAlignment="1" applyProtection="1">
      <alignment horizontal="left"/>
      <protection hidden="1"/>
    </xf>
    <xf numFmtId="0" fontId="24" fillId="3" borderId="0" xfId="12" applyFill="1" applyProtection="1">
      <protection hidden="1"/>
    </xf>
    <xf numFmtId="10" fontId="24" fillId="0" borderId="0" xfId="11" applyNumberFormat="1" applyFill="1" applyAlignment="1" applyProtection="1">
      <alignment horizontal="center"/>
      <protection hidden="1"/>
    </xf>
    <xf numFmtId="9" fontId="24" fillId="0" borderId="0" xfId="11" applyNumberFormat="1" applyFill="1" applyProtection="1">
      <protection hidden="1"/>
    </xf>
    <xf numFmtId="164" fontId="0" fillId="0" borderId="0" xfId="19" applyNumberFormat="1" applyFont="1" applyFill="1" applyBorder="1" applyProtection="1">
      <protection hidden="1"/>
    </xf>
    <xf numFmtId="44" fontId="24" fillId="0" borderId="0" xfId="11" applyNumberFormat="1" applyFill="1" applyAlignment="1" applyProtection="1">
      <alignment horizontal="center"/>
      <protection hidden="1"/>
    </xf>
    <xf numFmtId="10" fontId="0" fillId="0" borderId="0" xfId="19" applyNumberFormat="1" applyFont="1" applyFill="1" applyAlignment="1" applyProtection="1">
      <protection hidden="1"/>
    </xf>
    <xf numFmtId="10" fontId="0" fillId="0" borderId="0" xfId="19" applyNumberFormat="1" applyFont="1" applyFill="1" applyBorder="1" applyProtection="1">
      <protection hidden="1"/>
    </xf>
    <xf numFmtId="164" fontId="0" fillId="0" borderId="0" xfId="19" applyNumberFormat="1" applyFont="1" applyFill="1" applyBorder="1" applyAlignment="1" applyProtection="1">
      <alignment horizontal="center"/>
      <protection hidden="1"/>
    </xf>
    <xf numFmtId="9" fontId="66" fillId="0" borderId="1" xfId="17" applyFont="1" applyFill="1" applyBorder="1" applyAlignment="1" applyProtection="1">
      <alignment horizontal="center"/>
      <protection locked="0"/>
    </xf>
    <xf numFmtId="44" fontId="0" fillId="0" borderId="0" xfId="19" applyNumberFormat="1" applyFont="1" applyFill="1" applyBorder="1" applyAlignment="1" applyProtection="1">
      <alignment horizontal="center"/>
      <protection hidden="1"/>
    </xf>
    <xf numFmtId="0" fontId="24" fillId="0" borderId="24" xfId="11" applyFill="1" applyBorder="1" applyProtection="1">
      <protection hidden="1"/>
    </xf>
    <xf numFmtId="43" fontId="0" fillId="0" borderId="24" xfId="13" applyFont="1" applyFill="1" applyBorder="1" applyProtection="1">
      <protection hidden="1"/>
    </xf>
    <xf numFmtId="164" fontId="66" fillId="0" borderId="24" xfId="19" applyNumberFormat="1" applyFont="1" applyFill="1" applyBorder="1" applyAlignment="1" applyProtection="1">
      <alignment horizontal="center"/>
      <protection hidden="1"/>
    </xf>
    <xf numFmtId="164" fontId="0" fillId="0" borderId="24" xfId="19" applyNumberFormat="1" applyFont="1" applyFill="1" applyBorder="1" applyAlignment="1" applyProtection="1">
      <alignment horizontal="center"/>
      <protection hidden="1"/>
    </xf>
    <xf numFmtId="44" fontId="0" fillId="0" borderId="24" xfId="2" applyFont="1" applyFill="1" applyBorder="1" applyProtection="1">
      <protection hidden="1"/>
    </xf>
    <xf numFmtId="0" fontId="24" fillId="3" borderId="23" xfId="11" applyFill="1" applyBorder="1" applyProtection="1">
      <protection hidden="1"/>
    </xf>
    <xf numFmtId="10" fontId="0" fillId="3" borderId="24" xfId="17" applyNumberFormat="1" applyFont="1" applyFill="1" applyBorder="1" applyAlignment="1" applyProtection="1">
      <alignment horizontal="right"/>
      <protection hidden="1"/>
    </xf>
    <xf numFmtId="0" fontId="24" fillId="3" borderId="24" xfId="11" applyFill="1" applyBorder="1" applyProtection="1">
      <protection hidden="1"/>
    </xf>
    <xf numFmtId="44" fontId="0" fillId="3" borderId="24" xfId="2" applyFont="1" applyFill="1" applyBorder="1" applyProtection="1">
      <protection hidden="1"/>
    </xf>
    <xf numFmtId="44" fontId="0" fillId="3" borderId="25" xfId="20" applyFont="1" applyFill="1" applyBorder="1" applyProtection="1">
      <protection hidden="1"/>
    </xf>
    <xf numFmtId="0" fontId="9" fillId="20" borderId="0" xfId="11" applyFont="1" applyFill="1" applyAlignment="1" applyProtection="1">
      <alignment horizontal="center"/>
      <protection hidden="1"/>
    </xf>
    <xf numFmtId="0" fontId="67" fillId="20" borderId="0" xfId="11" applyFont="1" applyFill="1" applyAlignment="1" applyProtection="1">
      <alignment horizontal="center"/>
      <protection hidden="1"/>
    </xf>
    <xf numFmtId="0" fontId="24" fillId="20" borderId="0" xfId="11" applyFill="1" applyProtection="1">
      <protection hidden="1"/>
    </xf>
    <xf numFmtId="10" fontId="66" fillId="20" borderId="0" xfId="19" applyNumberFormat="1" applyFont="1" applyFill="1" applyBorder="1" applyAlignment="1" applyProtection="1">
      <alignment horizontal="center"/>
    </xf>
    <xf numFmtId="10" fontId="0" fillId="20" borderId="0" xfId="19" applyNumberFormat="1" applyFont="1" applyFill="1" applyAlignment="1" applyProtection="1">
      <alignment horizontal="center"/>
      <protection hidden="1"/>
    </xf>
    <xf numFmtId="44" fontId="0" fillId="20" borderId="0" xfId="2" applyFont="1" applyFill="1" applyBorder="1" applyProtection="1">
      <protection hidden="1"/>
    </xf>
    <xf numFmtId="9" fontId="66" fillId="0" borderId="7" xfId="17" applyFont="1" applyFill="1" applyBorder="1" applyAlignment="1" applyProtection="1">
      <alignment horizontal="center"/>
    </xf>
    <xf numFmtId="0" fontId="24" fillId="3" borderId="62" xfId="11" applyFill="1" applyBorder="1" applyProtection="1">
      <protection hidden="1"/>
    </xf>
    <xf numFmtId="10" fontId="0" fillId="3" borderId="63" xfId="17" applyNumberFormat="1" applyFont="1" applyFill="1" applyBorder="1" applyAlignment="1" applyProtection="1">
      <alignment horizontal="right"/>
      <protection hidden="1"/>
    </xf>
    <xf numFmtId="0" fontId="24" fillId="3" borderId="63" xfId="11" applyFill="1" applyBorder="1" applyProtection="1">
      <protection hidden="1"/>
    </xf>
    <xf numFmtId="44" fontId="0" fillId="3" borderId="63" xfId="2" applyFont="1" applyFill="1" applyBorder="1" applyProtection="1">
      <protection hidden="1"/>
    </xf>
    <xf numFmtId="44" fontId="0" fillId="3" borderId="64" xfId="2" applyFont="1" applyFill="1" applyBorder="1" applyProtection="1">
      <protection hidden="1"/>
    </xf>
    <xf numFmtId="10" fontId="66" fillId="0" borderId="0" xfId="19" applyNumberFormat="1" applyFont="1" applyFill="1" applyBorder="1" applyAlignment="1" applyProtection="1">
      <alignment horizontal="center"/>
      <protection locked="0"/>
    </xf>
    <xf numFmtId="10" fontId="0" fillId="0" borderId="0" xfId="19" applyNumberFormat="1" applyFont="1" applyFill="1" applyAlignment="1" applyProtection="1">
      <alignment horizontal="center"/>
      <protection hidden="1"/>
    </xf>
    <xf numFmtId="171" fontId="24" fillId="0" borderId="0" xfId="15" applyNumberFormat="1" applyFont="1" applyFill="1" applyProtection="1">
      <protection hidden="1"/>
    </xf>
    <xf numFmtId="43" fontId="66" fillId="0" borderId="0" xfId="13" applyFont="1" applyFill="1" applyBorder="1" applyProtection="1">
      <protection locked="0"/>
    </xf>
    <xf numFmtId="10" fontId="0" fillId="3" borderId="63" xfId="19" applyNumberFormat="1" applyFont="1" applyFill="1" applyBorder="1" applyAlignment="1" applyProtection="1">
      <alignment horizontal="right"/>
      <protection hidden="1"/>
    </xf>
    <xf numFmtId="43" fontId="24" fillId="0" borderId="0" xfId="11" applyNumberFormat="1" applyFill="1" applyAlignment="1" applyProtection="1">
      <alignment horizontal="center"/>
      <protection hidden="1"/>
    </xf>
    <xf numFmtId="44" fontId="66" fillId="0" borderId="0" xfId="2" applyFont="1" applyFill="1" applyBorder="1" applyProtection="1">
      <protection locked="0"/>
    </xf>
    <xf numFmtId="0" fontId="11" fillId="0" borderId="0" xfId="11" applyFont="1" applyFill="1" applyAlignment="1" applyProtection="1">
      <alignment horizontal="left"/>
      <protection hidden="1"/>
    </xf>
    <xf numFmtId="0" fontId="2" fillId="0" borderId="0" xfId="21"/>
    <xf numFmtId="44" fontId="23" fillId="0" borderId="18" xfId="22" applyFont="1" applyFill="1" applyBorder="1" applyAlignment="1" applyProtection="1">
      <alignment horizontal="center"/>
      <protection hidden="1"/>
    </xf>
    <xf numFmtId="0" fontId="2" fillId="0" borderId="19" xfId="21" applyBorder="1"/>
    <xf numFmtId="0" fontId="2" fillId="0" borderId="20" xfId="21" applyBorder="1"/>
    <xf numFmtId="0" fontId="2" fillId="0" borderId="21" xfId="21" applyBorder="1"/>
    <xf numFmtId="0" fontId="2" fillId="0" borderId="22" xfId="21" applyBorder="1"/>
    <xf numFmtId="0" fontId="2" fillId="0" borderId="21" xfId="21" applyBorder="1" applyAlignment="1">
      <alignment wrapText="1"/>
    </xf>
    <xf numFmtId="0" fontId="2" fillId="0" borderId="0" xfId="21" applyAlignment="1">
      <alignment wrapText="1"/>
    </xf>
    <xf numFmtId="0" fontId="2" fillId="0" borderId="22" xfId="21" applyBorder="1" applyAlignment="1">
      <alignment wrapText="1"/>
    </xf>
    <xf numFmtId="9" fontId="2" fillId="0" borderId="0" xfId="21" applyNumberFormat="1"/>
    <xf numFmtId="10" fontId="2" fillId="0" borderId="0" xfId="21" applyNumberFormat="1"/>
    <xf numFmtId="172" fontId="2" fillId="0" borderId="22" xfId="21" applyNumberFormat="1" applyBorder="1"/>
    <xf numFmtId="0" fontId="2" fillId="0" borderId="23" xfId="21" applyBorder="1"/>
    <xf numFmtId="0" fontId="2" fillId="0" borderId="24" xfId="21" applyBorder="1"/>
    <xf numFmtId="9" fontId="2" fillId="0" borderId="24" xfId="21" applyNumberFormat="1" applyBorder="1"/>
    <xf numFmtId="10" fontId="2" fillId="0" borderId="24" xfId="21" applyNumberFormat="1" applyBorder="1"/>
    <xf numFmtId="172" fontId="2" fillId="0" borderId="25" xfId="21" applyNumberFormat="1" applyBorder="1"/>
    <xf numFmtId="0" fontId="43" fillId="15" borderId="57" xfId="0" applyFont="1" applyFill="1" applyBorder="1" applyAlignment="1" applyProtection="1">
      <alignment horizontal="center" vertical="center" wrapText="1"/>
      <protection locked="0"/>
    </xf>
    <xf numFmtId="0" fontId="43" fillId="15" borderId="59" xfId="0" applyFont="1" applyFill="1" applyBorder="1" applyAlignment="1" applyProtection="1">
      <alignment horizontal="center" vertical="center" wrapText="1"/>
      <protection locked="0"/>
    </xf>
    <xf numFmtId="0" fontId="43" fillId="15" borderId="60" xfId="0" applyFont="1" applyFill="1" applyBorder="1" applyAlignment="1" applyProtection="1">
      <alignment horizontal="center" vertical="center" wrapText="1"/>
      <protection locked="0"/>
    </xf>
    <xf numFmtId="0" fontId="43" fillId="15" borderId="61" xfId="0" applyFont="1" applyFill="1" applyBorder="1" applyAlignment="1" applyProtection="1">
      <alignment horizontal="center" vertical="center" wrapText="1"/>
      <protection locked="0"/>
    </xf>
    <xf numFmtId="0" fontId="43" fillId="15" borderId="58" xfId="0" applyFont="1" applyFill="1" applyBorder="1" applyAlignment="1" applyProtection="1">
      <alignment vertical="center" wrapText="1"/>
      <protection locked="0"/>
    </xf>
    <xf numFmtId="0" fontId="43" fillId="15" borderId="47" xfId="0" applyFont="1" applyFill="1" applyBorder="1" applyAlignment="1" applyProtection="1">
      <alignment vertical="center" wrapText="1"/>
      <protection locked="0"/>
    </xf>
    <xf numFmtId="0" fontId="9" fillId="0" borderId="0" xfId="0" applyFont="1" applyAlignment="1" applyProtection="1">
      <alignment horizontal="center" vertical="center" wrapText="1"/>
      <protection locked="0"/>
    </xf>
    <xf numFmtId="0" fontId="24" fillId="0" borderId="0" xfId="0" applyFont="1" applyAlignment="1" applyProtection="1">
      <alignment vertical="center" wrapText="1"/>
      <protection locked="0"/>
    </xf>
    <xf numFmtId="43" fontId="24" fillId="0" borderId="0" xfId="0" applyNumberFormat="1" applyFont="1" applyAlignment="1" applyProtection="1">
      <alignment horizontal="center" vertical="center" wrapText="1"/>
      <protection locked="0"/>
    </xf>
    <xf numFmtId="0" fontId="23" fillId="0" borderId="18" xfId="11" applyFont="1" applyFill="1" applyBorder="1" applyAlignment="1" applyProtection="1">
      <alignment horizontal="center"/>
      <protection hidden="1"/>
    </xf>
    <xf numFmtId="0" fontId="23" fillId="0" borderId="19" xfId="11" applyFont="1" applyFill="1" applyBorder="1" applyAlignment="1" applyProtection="1">
      <alignment horizontal="center"/>
      <protection hidden="1"/>
    </xf>
    <xf numFmtId="0" fontId="62" fillId="0" borderId="19" xfId="11" applyFont="1" applyFill="1" applyBorder="1" applyAlignment="1" applyProtection="1">
      <alignment horizontal="center" wrapText="1"/>
      <protection hidden="1"/>
    </xf>
    <xf numFmtId="44" fontId="23" fillId="0" borderId="19" xfId="2" applyFont="1" applyFill="1" applyBorder="1" applyAlignment="1" applyProtection="1">
      <alignment horizontal="center"/>
      <protection hidden="1"/>
    </xf>
    <xf numFmtId="0" fontId="23" fillId="0" borderId="20" xfId="11" applyFont="1" applyFill="1" applyBorder="1" applyAlignment="1" applyProtection="1">
      <alignment horizontal="center"/>
      <protection hidden="1"/>
    </xf>
    <xf numFmtId="0" fontId="63" fillId="0" borderId="21" xfId="11" applyFont="1" applyFill="1" applyBorder="1" applyProtection="1">
      <protection hidden="1"/>
    </xf>
    <xf numFmtId="0" fontId="64" fillId="0" borderId="0" xfId="11" applyFont="1" applyFill="1" applyAlignment="1" applyProtection="1">
      <alignment horizontal="center" wrapText="1"/>
      <protection hidden="1"/>
    </xf>
    <xf numFmtId="0" fontId="23" fillId="0" borderId="0" xfId="12" applyFont="1" applyFill="1" applyAlignment="1" applyProtection="1">
      <alignment horizontal="center"/>
      <protection hidden="1"/>
    </xf>
    <xf numFmtId="0" fontId="23" fillId="0" borderId="22" xfId="12" applyFont="1" applyFill="1" applyBorder="1" applyAlignment="1" applyProtection="1">
      <alignment horizontal="center"/>
      <protection hidden="1"/>
    </xf>
    <xf numFmtId="0" fontId="9" fillId="0" borderId="21" xfId="11" applyFont="1" applyFill="1" applyBorder="1" applyProtection="1">
      <protection hidden="1"/>
    </xf>
    <xf numFmtId="1" fontId="24" fillId="0" borderId="0" xfId="11" applyNumberFormat="1" applyFill="1" applyProtection="1">
      <protection hidden="1"/>
    </xf>
    <xf numFmtId="0" fontId="65" fillId="0" borderId="21" xfId="11" applyFont="1" applyFill="1" applyBorder="1" applyProtection="1">
      <protection hidden="1"/>
    </xf>
    <xf numFmtId="0" fontId="24" fillId="0" borderId="0" xfId="12" applyFill="1" applyAlignment="1" applyProtection="1">
      <alignment horizontal="center"/>
      <protection hidden="1"/>
    </xf>
    <xf numFmtId="0" fontId="7" fillId="0" borderId="22" xfId="14" applyBorder="1"/>
    <xf numFmtId="0" fontId="24" fillId="0" borderId="21" xfId="11" applyFill="1" applyBorder="1" applyProtection="1">
      <protection hidden="1"/>
    </xf>
    <xf numFmtId="0" fontId="9" fillId="0" borderId="0" xfId="12" applyFont="1" applyFill="1" applyAlignment="1" applyProtection="1">
      <alignment horizontal="center"/>
      <protection hidden="1"/>
    </xf>
    <xf numFmtId="0" fontId="7" fillId="0" borderId="22" xfId="14" applyBorder="1" applyAlignment="1">
      <alignment horizontal="center"/>
    </xf>
    <xf numFmtId="44" fontId="24" fillId="0" borderId="0" xfId="12" applyNumberFormat="1" applyFill="1" applyAlignment="1" applyProtection="1">
      <alignment horizontal="center"/>
      <protection hidden="1"/>
    </xf>
    <xf numFmtId="43" fontId="6" fillId="3" borderId="0" xfId="16" applyFont="1" applyFill="1" applyBorder="1" applyAlignment="1" applyProtection="1">
      <alignment horizontal="center"/>
    </xf>
    <xf numFmtId="0" fontId="7" fillId="0" borderId="0" xfId="14"/>
    <xf numFmtId="0" fontId="24" fillId="0" borderId="22" xfId="11" applyFill="1" applyBorder="1" applyProtection="1">
      <protection hidden="1"/>
    </xf>
    <xf numFmtId="0" fontId="24" fillId="0" borderId="23" xfId="11" applyFill="1" applyBorder="1" applyProtection="1">
      <protection hidden="1"/>
    </xf>
    <xf numFmtId="0" fontId="24" fillId="0" borderId="24" xfId="11" applyFill="1" applyBorder="1" applyAlignment="1" applyProtection="1">
      <alignment horizontal="center"/>
      <protection hidden="1"/>
    </xf>
    <xf numFmtId="0" fontId="24" fillId="0" borderId="25" xfId="11" applyFill="1" applyBorder="1" applyProtection="1">
      <protection hidden="1"/>
    </xf>
    <xf numFmtId="0" fontId="11" fillId="0" borderId="0" xfId="11" applyFont="1" applyFill="1" applyProtection="1">
      <protection hidden="1"/>
    </xf>
    <xf numFmtId="0" fontId="61" fillId="0" borderId="63" xfId="11" applyFont="1" applyFill="1" applyBorder="1" applyProtection="1">
      <protection locked="0" hidden="1"/>
    </xf>
    <xf numFmtId="0" fontId="61" fillId="0" borderId="64" xfId="11" applyFont="1" applyFill="1" applyBorder="1" applyProtection="1">
      <protection locked="0" hidden="1"/>
    </xf>
    <xf numFmtId="0" fontId="61" fillId="0" borderId="62" xfId="11" applyFont="1" applyFill="1" applyBorder="1" applyAlignment="1" applyProtection="1">
      <alignment horizontal="right"/>
      <protection locked="0" hidden="1"/>
    </xf>
    <xf numFmtId="0" fontId="70" fillId="0" borderId="63" xfId="11" applyFont="1" applyFill="1" applyBorder="1" applyProtection="1">
      <protection locked="0" hidden="1"/>
    </xf>
    <xf numFmtId="44" fontId="0" fillId="0" borderId="0" xfId="3" applyFont="1"/>
    <xf numFmtId="173" fontId="7" fillId="0" borderId="0" xfId="0" applyNumberFormat="1" applyFont="1" applyAlignment="1" applyProtection="1">
      <alignment horizontal="left"/>
      <protection locked="0"/>
    </xf>
    <xf numFmtId="2" fontId="9" fillId="0" borderId="0" xfId="13" applyNumberFormat="1" applyFont="1" applyFill="1" applyBorder="1" applyAlignment="1" applyProtection="1">
      <alignment horizontal="center"/>
      <protection hidden="1"/>
    </xf>
    <xf numFmtId="43" fontId="6" fillId="15" borderId="29" xfId="0" applyNumberFormat="1" applyFont="1" applyFill="1" applyBorder="1"/>
    <xf numFmtId="43" fontId="6" fillId="15" borderId="50" xfId="0" applyNumberFormat="1" applyFont="1" applyFill="1" applyBorder="1"/>
    <xf numFmtId="44" fontId="7" fillId="0" borderId="22" xfId="3" applyFont="1" applyBorder="1" applyAlignment="1">
      <alignment horizontal="center"/>
    </xf>
    <xf numFmtId="44" fontId="7" fillId="0" borderId="0" xfId="3" applyFont="1" applyAlignment="1">
      <alignment horizontal="center"/>
    </xf>
    <xf numFmtId="44" fontId="7" fillId="0" borderId="0" xfId="3" applyFont="1" applyBorder="1" applyAlignment="1" applyProtection="1">
      <alignment horizontal="center"/>
    </xf>
    <xf numFmtId="44" fontId="6" fillId="3" borderId="0" xfId="3" applyFont="1" applyFill="1" applyBorder="1" applyAlignment="1" applyProtection="1">
      <alignment horizontal="center"/>
    </xf>
    <xf numFmtId="0" fontId="7" fillId="0" borderId="68" xfId="0" applyFont="1" applyBorder="1" applyAlignment="1" applyProtection="1">
      <alignment horizontal="center" vertical="center"/>
      <protection locked="0"/>
    </xf>
    <xf numFmtId="0" fontId="6" fillId="0" borderId="69" xfId="0" applyFont="1" applyBorder="1" applyAlignment="1" applyProtection="1">
      <alignment horizontal="right"/>
      <protection locked="0"/>
    </xf>
    <xf numFmtId="44" fontId="49" fillId="0" borderId="0" xfId="2" applyFont="1" applyFill="1" applyBorder="1" applyProtection="1">
      <protection hidden="1"/>
    </xf>
    <xf numFmtId="9" fontId="72" fillId="0" borderId="0" xfId="17" applyFont="1" applyAlignment="1">
      <alignment horizontal="center"/>
    </xf>
    <xf numFmtId="0" fontId="72" fillId="0" borderId="0" xfId="18" applyFont="1" applyAlignment="1">
      <alignment horizontal="center"/>
    </xf>
    <xf numFmtId="171" fontId="72" fillId="0" borderId="0" xfId="15" applyNumberFormat="1" applyFont="1" applyAlignment="1">
      <alignment horizontal="center"/>
    </xf>
    <xf numFmtId="10" fontId="72" fillId="0" borderId="0" xfId="17" applyNumberFormat="1" applyFont="1" applyAlignment="1">
      <alignment horizontal="center"/>
    </xf>
    <xf numFmtId="164" fontId="71" fillId="0" borderId="0" xfId="17" applyNumberFormat="1" applyFont="1" applyBorder="1" applyAlignment="1">
      <alignment horizontal="center"/>
    </xf>
    <xf numFmtId="0" fontId="72" fillId="0" borderId="0" xfId="18" applyFont="1"/>
    <xf numFmtId="0" fontId="71" fillId="0" borderId="0" xfId="18" applyFont="1" applyAlignment="1">
      <alignment horizontal="center"/>
    </xf>
    <xf numFmtId="14" fontId="51" fillId="0" borderId="0" xfId="10" applyNumberFormat="1" applyFont="1" applyAlignment="1" applyProtection="1">
      <alignment horizontal="center"/>
      <protection locked="0"/>
    </xf>
    <xf numFmtId="0" fontId="6" fillId="0" borderId="0" xfId="0" applyFont="1" applyAlignment="1" applyProtection="1">
      <alignment horizontal="right" vertical="center"/>
      <protection locked="0"/>
    </xf>
    <xf numFmtId="0" fontId="42" fillId="0" borderId="0" xfId="0" applyFont="1" applyAlignment="1">
      <alignment horizontal="center" vertical="center"/>
    </xf>
    <xf numFmtId="0" fontId="6" fillId="0" borderId="0" xfId="0" applyFont="1" applyAlignment="1" applyProtection="1">
      <alignment vertical="center"/>
      <protection locked="0"/>
    </xf>
    <xf numFmtId="0" fontId="6" fillId="4" borderId="1" xfId="0" applyFont="1" applyFill="1" applyBorder="1" applyAlignment="1" applyProtection="1">
      <alignment horizontal="center" vertical="center"/>
      <protection locked="0"/>
    </xf>
    <xf numFmtId="0" fontId="18" fillId="4" borderId="29" xfId="0" applyFont="1" applyFill="1" applyBorder="1" applyAlignment="1" applyProtection="1">
      <alignment horizontal="center"/>
      <protection locked="0"/>
    </xf>
    <xf numFmtId="44" fontId="0" fillId="0" borderId="0" xfId="3" applyFont="1" applyFill="1"/>
    <xf numFmtId="43" fontId="7" fillId="4" borderId="0" xfId="15" applyFont="1" applyFill="1" applyBorder="1" applyAlignment="1" applyProtection="1">
      <alignment horizontal="center"/>
      <protection locked="0"/>
    </xf>
    <xf numFmtId="43" fontId="0" fillId="2" borderId="24" xfId="13" applyFont="1" applyFill="1" applyBorder="1" applyProtection="1">
      <protection hidden="1"/>
    </xf>
    <xf numFmtId="43" fontId="51" fillId="0" borderId="1" xfId="10" applyNumberFormat="1" applyFont="1" applyBorder="1" applyAlignment="1">
      <alignment horizontal="center"/>
    </xf>
    <xf numFmtId="0" fontId="73" fillId="0" borderId="22" xfId="10" applyFont="1" applyBorder="1"/>
    <xf numFmtId="43" fontId="51" fillId="0" borderId="22" xfId="10" applyNumberFormat="1" applyFont="1" applyBorder="1" applyAlignment="1">
      <alignment horizontal="center" vertical="center"/>
    </xf>
    <xf numFmtId="2" fontId="51" fillId="0" borderId="1" xfId="10" applyNumberFormat="1" applyFont="1" applyBorder="1" applyAlignment="1">
      <alignment horizontal="center"/>
    </xf>
    <xf numFmtId="0" fontId="75" fillId="0" borderId="0" xfId="0" applyFont="1" applyAlignment="1">
      <alignment vertical="center"/>
    </xf>
    <xf numFmtId="0" fontId="74" fillId="0" borderId="0" xfId="0" applyFont="1" applyAlignment="1">
      <alignment horizontal="left" vertical="center" indent="2"/>
    </xf>
    <xf numFmtId="0" fontId="74" fillId="0" borderId="0" xfId="0" applyFont="1" applyAlignment="1">
      <alignment horizontal="left" vertical="center" indent="4"/>
    </xf>
    <xf numFmtId="0" fontId="77" fillId="0" borderId="0" xfId="0" applyFont="1" applyAlignment="1">
      <alignment horizontal="left" vertical="center" indent="4"/>
    </xf>
    <xf numFmtId="0" fontId="74" fillId="0" borderId="0" xfId="0" applyFont="1" applyAlignment="1">
      <alignment horizontal="left" vertical="center" indent="6"/>
    </xf>
    <xf numFmtId="0" fontId="77" fillId="0" borderId="0" xfId="0" applyFont="1" applyAlignment="1">
      <alignment horizontal="left" vertical="center" indent="6"/>
    </xf>
    <xf numFmtId="43" fontId="7" fillId="3" borderId="33" xfId="0" quotePrefix="1" applyNumberFormat="1" applyFont="1" applyFill="1" applyBorder="1"/>
    <xf numFmtId="43" fontId="0" fillId="3" borderId="45" xfId="0" applyNumberFormat="1" applyFill="1" applyBorder="1"/>
    <xf numFmtId="44" fontId="7" fillId="0" borderId="0" xfId="3" applyFont="1" applyAlignment="1" applyProtection="1">
      <alignment horizontal="center"/>
    </xf>
    <xf numFmtId="44" fontId="0" fillId="0" borderId="1" xfId="2" applyFont="1" applyFill="1" applyBorder="1" applyProtection="1">
      <protection locked="0"/>
    </xf>
    <xf numFmtId="0" fontId="0" fillId="0" borderId="0" xfId="0" applyAlignment="1">
      <alignment horizontal="center"/>
    </xf>
    <xf numFmtId="0" fontId="74" fillId="0" borderId="0" xfId="0" applyFont="1" applyAlignment="1">
      <alignment horizontal="left" vertical="center" wrapText="1" indent="2"/>
    </xf>
    <xf numFmtId="0" fontId="77" fillId="0" borderId="0" xfId="0" applyFont="1" applyAlignment="1">
      <alignment horizontal="left" vertical="center" wrapText="1" indent="4"/>
    </xf>
    <xf numFmtId="0" fontId="51" fillId="0" borderId="0" xfId="10" applyFont="1" applyAlignment="1">
      <alignment horizontal="left" indent="1"/>
    </xf>
    <xf numFmtId="0" fontId="51" fillId="0" borderId="1" xfId="10" applyFont="1" applyBorder="1" applyAlignment="1" applyProtection="1">
      <alignment horizontal="center" wrapText="1"/>
      <protection locked="0"/>
    </xf>
    <xf numFmtId="0" fontId="51" fillId="0" borderId="14" xfId="10" applyFont="1" applyBorder="1" applyAlignment="1">
      <alignment horizontal="left" indent="1"/>
    </xf>
    <xf numFmtId="44" fontId="51" fillId="0" borderId="14" xfId="10" applyNumberFormat="1" applyFont="1" applyBorder="1" applyAlignment="1">
      <alignment horizontal="left"/>
    </xf>
    <xf numFmtId="0" fontId="53" fillId="0" borderId="36" xfId="10" applyFont="1" applyBorder="1" applyAlignment="1">
      <alignment horizontal="left"/>
    </xf>
    <xf numFmtId="0" fontId="51" fillId="0" borderId="0" xfId="10" applyFont="1" applyAlignment="1">
      <alignment horizontal="right"/>
    </xf>
    <xf numFmtId="0" fontId="5" fillId="0" borderId="14" xfId="10" applyBorder="1" applyAlignment="1" applyProtection="1">
      <alignment horizontal="center"/>
      <protection locked="0"/>
    </xf>
    <xf numFmtId="0" fontId="51" fillId="0" borderId="14" xfId="10" applyFont="1" applyBorder="1" applyAlignment="1" applyProtection="1">
      <alignment horizontal="left" indent="1"/>
      <protection locked="0"/>
    </xf>
    <xf numFmtId="0" fontId="51" fillId="0" borderId="16" xfId="10" applyFont="1" applyBorder="1" applyAlignment="1" applyProtection="1">
      <alignment horizontal="left" indent="1"/>
      <protection locked="0"/>
    </xf>
    <xf numFmtId="0" fontId="51" fillId="0" borderId="14" xfId="10" applyFont="1" applyBorder="1" applyAlignment="1" applyProtection="1">
      <alignment horizontal="center"/>
      <protection locked="0"/>
    </xf>
    <xf numFmtId="0" fontId="51" fillId="0" borderId="21" xfId="10" applyFont="1" applyBorder="1" applyAlignment="1" applyProtection="1">
      <alignment horizontal="right"/>
      <protection locked="0"/>
    </xf>
    <xf numFmtId="0" fontId="51" fillId="0" borderId="0" xfId="10" applyFont="1" applyAlignment="1" applyProtection="1">
      <alignment horizontal="right"/>
      <protection locked="0"/>
    </xf>
    <xf numFmtId="0" fontId="51" fillId="0" borderId="12" xfId="10" applyFont="1" applyBorder="1" applyAlignment="1" applyProtection="1">
      <alignment horizontal="right"/>
      <protection locked="0"/>
    </xf>
    <xf numFmtId="0" fontId="50" fillId="0" borderId="0" xfId="10" applyFont="1" applyAlignment="1">
      <alignment horizontal="center"/>
    </xf>
    <xf numFmtId="0" fontId="51" fillId="0" borderId="16" xfId="10" applyFont="1" applyBorder="1" applyAlignment="1" applyProtection="1">
      <alignment horizontal="center"/>
      <protection locked="0"/>
    </xf>
    <xf numFmtId="14" fontId="51" fillId="0" borderId="14" xfId="10" applyNumberFormat="1" applyFont="1" applyBorder="1" applyAlignment="1" applyProtection="1">
      <alignment horizontal="center"/>
      <protection locked="0"/>
    </xf>
    <xf numFmtId="0" fontId="51" fillId="0" borderId="16" xfId="10" applyFont="1" applyBorder="1" applyAlignment="1" applyProtection="1">
      <alignment horizontal="left"/>
      <protection locked="0"/>
    </xf>
    <xf numFmtId="0" fontId="51" fillId="0" borderId="0" xfId="10" applyFont="1" applyAlignment="1" applyProtection="1">
      <alignment wrapText="1"/>
      <protection locked="0"/>
    </xf>
    <xf numFmtId="0" fontId="5" fillId="0" borderId="0" xfId="10" applyAlignment="1" applyProtection="1">
      <alignment wrapText="1"/>
      <protection locked="0"/>
    </xf>
    <xf numFmtId="14" fontId="51" fillId="0" borderId="14" xfId="10" applyNumberFormat="1" applyFont="1" applyBorder="1" applyAlignment="1" applyProtection="1">
      <alignment horizontal="left" indent="1"/>
      <protection locked="0"/>
    </xf>
    <xf numFmtId="14" fontId="51" fillId="0" borderId="16" xfId="10" applyNumberFormat="1" applyFont="1" applyBorder="1" applyAlignment="1">
      <alignment horizontal="left" indent="1"/>
    </xf>
    <xf numFmtId="0" fontId="51" fillId="0" borderId="0" xfId="10" applyFont="1" applyAlignment="1" applyProtection="1">
      <alignment horizontal="left" indent="1"/>
      <protection locked="0"/>
    </xf>
    <xf numFmtId="44" fontId="51" fillId="0" borderId="14" xfId="10" applyNumberFormat="1" applyFont="1" applyBorder="1" applyAlignment="1">
      <alignment horizontal="center"/>
    </xf>
    <xf numFmtId="44" fontId="51" fillId="0" borderId="16" xfId="10" applyNumberFormat="1" applyFont="1" applyBorder="1" applyAlignment="1">
      <alignment horizontal="center"/>
    </xf>
    <xf numFmtId="0" fontId="51" fillId="0" borderId="14" xfId="10" applyFont="1" applyBorder="1" applyAlignment="1" applyProtection="1">
      <alignment horizontal="left" indent="2"/>
      <protection locked="0"/>
    </xf>
    <xf numFmtId="0" fontId="51" fillId="0" borderId="14" xfId="10" applyFont="1" applyBorder="1" applyAlignment="1">
      <alignment horizontal="center"/>
    </xf>
    <xf numFmtId="44" fontId="51" fillId="0" borderId="16" xfId="10" applyNumberFormat="1" applyFont="1" applyBorder="1" applyAlignment="1">
      <alignment horizontal="left"/>
    </xf>
    <xf numFmtId="14" fontId="51" fillId="0" borderId="14" xfId="10" applyNumberFormat="1" applyFont="1" applyBorder="1" applyAlignment="1">
      <alignment horizontal="left"/>
    </xf>
    <xf numFmtId="0" fontId="51" fillId="0" borderId="16" xfId="10" applyFont="1" applyBorder="1" applyAlignment="1">
      <alignment horizontal="center"/>
    </xf>
    <xf numFmtId="0" fontId="51" fillId="0" borderId="0" xfId="10" applyFont="1" applyAlignment="1">
      <alignment horizontal="center"/>
    </xf>
    <xf numFmtId="14" fontId="51" fillId="0" borderId="14" xfId="10" applyNumberFormat="1" applyFont="1" applyBorder="1" applyAlignment="1">
      <alignment horizontal="center"/>
    </xf>
    <xf numFmtId="0" fontId="51" fillId="0" borderId="16" xfId="10" applyFont="1" applyBorder="1" applyAlignment="1">
      <alignment horizontal="left"/>
    </xf>
    <xf numFmtId="0" fontId="59" fillId="0" borderId="0" xfId="10" applyFont="1" applyAlignment="1" applyProtection="1">
      <alignment horizontal="center"/>
      <protection locked="0"/>
    </xf>
    <xf numFmtId="0" fontId="8" fillId="13" borderId="30" xfId="6" applyFont="1" applyFill="1" applyBorder="1" applyAlignment="1">
      <alignment horizontal="right"/>
    </xf>
    <xf numFmtId="0" fontId="8" fillId="13" borderId="12" xfId="6" applyFont="1" applyFill="1" applyBorder="1" applyAlignment="1">
      <alignment horizontal="right"/>
    </xf>
    <xf numFmtId="166" fontId="8" fillId="0" borderId="1" xfId="6" applyNumberFormat="1" applyFont="1" applyBorder="1" applyAlignment="1" applyProtection="1">
      <alignment horizontal="center"/>
      <protection locked="0"/>
    </xf>
    <xf numFmtId="166" fontId="8" fillId="0" borderId="15" xfId="6" applyNumberFormat="1" applyFont="1" applyBorder="1" applyAlignment="1" applyProtection="1">
      <alignment horizontal="center"/>
      <protection locked="0"/>
    </xf>
    <xf numFmtId="0" fontId="8" fillId="0" borderId="2" xfId="6" applyFont="1" applyBorder="1" applyAlignment="1" applyProtection="1">
      <alignment horizontal="center"/>
      <protection locked="0"/>
    </xf>
    <xf numFmtId="0" fontId="8" fillId="0" borderId="29" xfId="6" applyFont="1" applyBorder="1" applyAlignment="1" applyProtection="1">
      <alignment horizontal="center"/>
      <protection locked="0"/>
    </xf>
    <xf numFmtId="0" fontId="8" fillId="9" borderId="30" xfId="6" applyFont="1" applyFill="1" applyBorder="1" applyAlignment="1">
      <alignment horizontal="right"/>
    </xf>
    <xf numFmtId="0" fontId="8" fillId="9" borderId="12" xfId="6" applyFont="1" applyFill="1" applyBorder="1" applyAlignment="1">
      <alignment horizontal="right"/>
    </xf>
    <xf numFmtId="0" fontId="8" fillId="0" borderId="1" xfId="6" applyFont="1" applyBorder="1" applyAlignment="1" applyProtection="1">
      <alignment horizontal="center"/>
      <protection locked="0"/>
    </xf>
    <xf numFmtId="0" fontId="8" fillId="0" borderId="15" xfId="6" applyFont="1" applyBorder="1" applyAlignment="1" applyProtection="1">
      <alignment horizontal="center"/>
      <protection locked="0"/>
    </xf>
    <xf numFmtId="0" fontId="8" fillId="0" borderId="31" xfId="6" applyFont="1" applyBorder="1" applyAlignment="1" applyProtection="1">
      <alignment horizontal="center"/>
      <protection locked="0"/>
    </xf>
    <xf numFmtId="165" fontId="16" fillId="8" borderId="18" xfId="5" applyFont="1" applyFill="1" applyBorder="1" applyAlignment="1">
      <alignment horizontal="center"/>
    </xf>
    <xf numFmtId="165" fontId="16" fillId="8" borderId="19" xfId="5" applyFont="1" applyFill="1" applyBorder="1" applyAlignment="1">
      <alignment horizontal="center"/>
    </xf>
    <xf numFmtId="165" fontId="16" fillId="8" borderId="20" xfId="5" applyFont="1" applyFill="1" applyBorder="1" applyAlignment="1">
      <alignment horizontal="center"/>
    </xf>
    <xf numFmtId="0" fontId="9" fillId="8" borderId="21" xfId="6" applyFont="1" applyFill="1" applyBorder="1" applyAlignment="1">
      <alignment horizontal="center"/>
    </xf>
    <xf numFmtId="0" fontId="9" fillId="8" borderId="0" xfId="6" applyFont="1" applyFill="1" applyAlignment="1">
      <alignment horizontal="center"/>
    </xf>
    <xf numFmtId="0" fontId="9" fillId="8" borderId="24" xfId="6" applyFont="1" applyFill="1" applyBorder="1" applyAlignment="1">
      <alignment horizontal="center"/>
    </xf>
    <xf numFmtId="0" fontId="9" fillId="8" borderId="22" xfId="6" applyFont="1" applyFill="1" applyBorder="1" applyAlignment="1">
      <alignment horizontal="center"/>
    </xf>
    <xf numFmtId="0" fontId="8" fillId="9" borderId="27" xfId="6" applyFont="1" applyFill="1" applyBorder="1" applyAlignment="1">
      <alignment horizontal="right"/>
    </xf>
    <xf numFmtId="0" fontId="8" fillId="9" borderId="28" xfId="6" applyFont="1" applyFill="1" applyBorder="1" applyAlignment="1">
      <alignment horizontal="right"/>
    </xf>
    <xf numFmtId="166" fontId="8" fillId="0" borderId="2" xfId="6" applyNumberFormat="1" applyFont="1" applyBorder="1" applyAlignment="1" applyProtection="1">
      <alignment horizontal="center"/>
      <protection locked="0"/>
    </xf>
    <xf numFmtId="166" fontId="8" fillId="0" borderId="8" xfId="6" applyNumberFormat="1" applyFont="1" applyBorder="1" applyAlignment="1" applyProtection="1">
      <alignment horizontal="center"/>
      <protection locked="0"/>
    </xf>
    <xf numFmtId="0" fontId="8" fillId="9" borderId="36" xfId="6" applyFont="1" applyFill="1" applyBorder="1" applyAlignment="1">
      <alignment horizontal="right"/>
    </xf>
    <xf numFmtId="1" fontId="8" fillId="0" borderId="15" xfId="6" applyNumberFormat="1" applyFont="1" applyBorder="1" applyAlignment="1" applyProtection="1">
      <alignment horizontal="center"/>
      <protection locked="0"/>
    </xf>
    <xf numFmtId="1" fontId="8" fillId="0" borderId="16" xfId="6" applyNumberFormat="1" applyFont="1" applyBorder="1" applyAlignment="1" applyProtection="1">
      <alignment horizontal="center"/>
      <protection locked="0"/>
    </xf>
    <xf numFmtId="1" fontId="8" fillId="0" borderId="26" xfId="6" applyNumberFormat="1" applyFont="1" applyBorder="1" applyAlignment="1" applyProtection="1">
      <alignment horizontal="center"/>
      <protection locked="0"/>
    </xf>
    <xf numFmtId="0" fontId="8" fillId="10" borderId="34" xfId="6" applyFont="1" applyFill="1" applyBorder="1" applyAlignment="1" applyProtection="1">
      <alignment horizontal="left"/>
      <protection locked="0"/>
    </xf>
    <xf numFmtId="0" fontId="8" fillId="10" borderId="16" xfId="6" applyFont="1" applyFill="1" applyBorder="1" applyAlignment="1" applyProtection="1">
      <alignment horizontal="left"/>
      <protection locked="0"/>
    </xf>
    <xf numFmtId="0" fontId="8" fillId="10" borderId="32" xfId="6" applyFont="1" applyFill="1" applyBorder="1" applyAlignment="1" applyProtection="1">
      <alignment horizontal="left"/>
      <protection locked="0"/>
    </xf>
    <xf numFmtId="0" fontId="19" fillId="8" borderId="15" xfId="6" applyFont="1" applyFill="1" applyBorder="1" applyAlignment="1">
      <alignment horizontal="left" vertical="center"/>
    </xf>
    <xf numFmtId="0" fontId="19" fillId="8" borderId="16" xfId="6" applyFont="1" applyFill="1" applyBorder="1" applyAlignment="1">
      <alignment horizontal="left" vertical="center"/>
    </xf>
    <xf numFmtId="0" fontId="19" fillId="8" borderId="26" xfId="6" applyFont="1" applyFill="1" applyBorder="1" applyAlignment="1">
      <alignment horizontal="left" vertical="center"/>
    </xf>
    <xf numFmtId="0" fontId="19" fillId="8" borderId="15" xfId="6" applyFont="1" applyFill="1" applyBorder="1" applyAlignment="1">
      <alignment vertical="center"/>
    </xf>
    <xf numFmtId="0" fontId="19" fillId="8" borderId="16" xfId="6" applyFont="1" applyFill="1" applyBorder="1" applyAlignment="1">
      <alignment vertical="center"/>
    </xf>
    <xf numFmtId="0" fontId="19" fillId="8" borderId="26" xfId="6" applyFont="1" applyFill="1" applyBorder="1" applyAlignment="1">
      <alignment vertical="center"/>
    </xf>
    <xf numFmtId="0" fontId="8" fillId="9" borderId="8" xfId="6" applyFont="1" applyFill="1" applyBorder="1" applyAlignment="1">
      <alignment horizontal="right"/>
    </xf>
    <xf numFmtId="0" fontId="8" fillId="9" borderId="9" xfId="6" applyFont="1" applyFill="1" applyBorder="1" applyAlignment="1">
      <alignment horizontal="right"/>
    </xf>
    <xf numFmtId="0" fontId="28" fillId="9" borderId="8" xfId="0" applyFont="1" applyFill="1" applyBorder="1" applyAlignment="1">
      <alignment horizontal="right"/>
    </xf>
    <xf numFmtId="0" fontId="28" fillId="9" borderId="9" xfId="0" applyFont="1" applyFill="1" applyBorder="1" applyAlignment="1">
      <alignment horizontal="right"/>
    </xf>
    <xf numFmtId="0" fontId="28" fillId="8" borderId="15" xfId="0" applyFont="1" applyFill="1" applyBorder="1" applyAlignment="1" applyProtection="1">
      <alignment horizontal="center"/>
      <protection locked="0"/>
    </xf>
    <xf numFmtId="0" fontId="28" fillId="8" borderId="16" xfId="0" applyFont="1" applyFill="1" applyBorder="1" applyAlignment="1" applyProtection="1">
      <alignment horizontal="center"/>
      <protection locked="0"/>
    </xf>
    <xf numFmtId="0" fontId="28" fillId="8" borderId="32" xfId="0" applyFont="1" applyFill="1" applyBorder="1" applyAlignment="1" applyProtection="1">
      <alignment horizontal="center"/>
      <protection locked="0"/>
    </xf>
    <xf numFmtId="0" fontId="8" fillId="9" borderId="21" xfId="6" applyFont="1" applyFill="1" applyBorder="1" applyAlignment="1">
      <alignment horizontal="right"/>
    </xf>
    <xf numFmtId="49" fontId="6" fillId="0" borderId="26" xfId="6" applyNumberFormat="1" applyFont="1" applyBorder="1" applyAlignment="1" applyProtection="1">
      <alignment horizontal="left"/>
      <protection locked="0"/>
    </xf>
    <xf numFmtId="49" fontId="6" fillId="0" borderId="1" xfId="6" applyNumberFormat="1" applyFont="1" applyBorder="1" applyAlignment="1" applyProtection="1">
      <alignment horizontal="left"/>
      <protection locked="0"/>
    </xf>
    <xf numFmtId="49" fontId="6" fillId="0" borderId="15" xfId="6" applyNumberFormat="1" applyFont="1" applyBorder="1" applyAlignment="1" applyProtection="1">
      <alignment horizontal="left"/>
      <protection locked="0"/>
    </xf>
    <xf numFmtId="0" fontId="8" fillId="0" borderId="8" xfId="6" applyFont="1" applyBorder="1" applyAlignment="1" applyProtection="1">
      <alignment horizontal="center"/>
      <protection locked="0"/>
    </xf>
    <xf numFmtId="0" fontId="8" fillId="0" borderId="14" xfId="6" applyFont="1" applyBorder="1" applyAlignment="1" applyProtection="1">
      <alignment horizontal="center"/>
      <protection locked="0"/>
    </xf>
    <xf numFmtId="0" fontId="8" fillId="0" borderId="33" xfId="6" applyFont="1" applyBorder="1" applyAlignment="1" applyProtection="1">
      <alignment horizontal="center"/>
      <protection locked="0"/>
    </xf>
    <xf numFmtId="49" fontId="6" fillId="0" borderId="16" xfId="6" applyNumberFormat="1" applyFont="1" applyBorder="1" applyAlignment="1" applyProtection="1">
      <alignment horizontal="left"/>
      <protection locked="0"/>
    </xf>
    <xf numFmtId="0" fontId="30" fillId="0" borderId="16" xfId="0" applyFont="1" applyBorder="1" applyAlignment="1">
      <alignment horizontal="left" vertical="center"/>
    </xf>
    <xf numFmtId="0" fontId="30" fillId="0" borderId="15" xfId="0" applyFont="1" applyBorder="1" applyAlignment="1">
      <alignment horizontal="left" vertical="center"/>
    </xf>
    <xf numFmtId="0" fontId="30" fillId="0" borderId="26" xfId="0" applyFont="1" applyBorder="1" applyAlignment="1">
      <alignment horizontal="left" vertical="center"/>
    </xf>
    <xf numFmtId="0" fontId="19" fillId="8" borderId="14" xfId="6" applyFont="1" applyFill="1" applyBorder="1" applyAlignment="1" applyProtection="1">
      <alignment horizontal="center" vertical="center" wrapText="1"/>
      <protection locked="0"/>
    </xf>
    <xf numFmtId="0" fontId="19" fillId="8" borderId="33" xfId="6" applyFont="1" applyFill="1" applyBorder="1" applyAlignment="1" applyProtection="1">
      <alignment horizontal="center" vertical="center" wrapText="1"/>
      <protection locked="0"/>
    </xf>
    <xf numFmtId="0" fontId="8" fillId="10" borderId="34" xfId="6" applyFont="1" applyFill="1" applyBorder="1" applyAlignment="1">
      <alignment horizontal="left"/>
    </xf>
    <xf numFmtId="0" fontId="8" fillId="10" borderId="16" xfId="6" applyFont="1" applyFill="1" applyBorder="1" applyAlignment="1">
      <alignment horizontal="left"/>
    </xf>
    <xf numFmtId="0" fontId="8" fillId="10" borderId="36" xfId="6" applyFont="1" applyFill="1" applyBorder="1" applyAlignment="1">
      <alignment horizontal="left"/>
    </xf>
    <xf numFmtId="0" fontId="8" fillId="10" borderId="32" xfId="6" applyFont="1" applyFill="1" applyBorder="1" applyAlignment="1">
      <alignment horizontal="left"/>
    </xf>
    <xf numFmtId="0" fontId="8" fillId="9" borderId="38" xfId="6" applyFont="1" applyFill="1" applyBorder="1" applyAlignment="1">
      <alignment horizontal="right"/>
    </xf>
    <xf numFmtId="0" fontId="8" fillId="9" borderId="15" xfId="6" applyFont="1" applyFill="1" applyBorder="1" applyAlignment="1">
      <alignment horizontal="center"/>
    </xf>
    <xf numFmtId="0" fontId="8" fillId="9" borderId="16" xfId="6" applyFont="1" applyFill="1" applyBorder="1" applyAlignment="1">
      <alignment horizontal="center"/>
    </xf>
    <xf numFmtId="0" fontId="8" fillId="9" borderId="32" xfId="6" applyFont="1" applyFill="1" applyBorder="1" applyAlignment="1">
      <alignment horizontal="center"/>
    </xf>
    <xf numFmtId="165" fontId="8" fillId="9" borderId="39" xfId="5" applyFont="1" applyFill="1" applyBorder="1" applyAlignment="1">
      <alignment horizontal="right"/>
    </xf>
    <xf numFmtId="165" fontId="8" fillId="9" borderId="9" xfId="5" applyFont="1" applyFill="1" applyBorder="1" applyAlignment="1">
      <alignment horizontal="right"/>
    </xf>
    <xf numFmtId="0" fontId="6" fillId="8" borderId="39" xfId="6" applyFont="1" applyFill="1" applyBorder="1" applyAlignment="1" applyProtection="1">
      <alignment horizontal="right"/>
      <protection locked="0"/>
    </xf>
    <xf numFmtId="0" fontId="6" fillId="8" borderId="14" xfId="6" applyFont="1" applyFill="1" applyBorder="1" applyAlignment="1" applyProtection="1">
      <alignment horizontal="right"/>
      <protection locked="0"/>
    </xf>
    <xf numFmtId="0" fontId="8" fillId="8" borderId="15" xfId="6" applyFont="1" applyFill="1" applyBorder="1" applyAlignment="1" applyProtection="1">
      <alignment horizontal="center"/>
      <protection locked="0"/>
    </xf>
    <xf numFmtId="0" fontId="8" fillId="8" borderId="16" xfId="6" applyFont="1" applyFill="1" applyBorder="1" applyAlignment="1" applyProtection="1">
      <alignment horizontal="center"/>
      <protection locked="0"/>
    </xf>
    <xf numFmtId="0" fontId="8" fillId="8" borderId="32" xfId="6" applyFont="1" applyFill="1" applyBorder="1" applyAlignment="1" applyProtection="1">
      <alignment horizontal="center"/>
      <protection locked="0"/>
    </xf>
    <xf numFmtId="0" fontId="8" fillId="0" borderId="16" xfId="6" applyFont="1" applyBorder="1" applyAlignment="1" applyProtection="1">
      <alignment horizontal="center"/>
      <protection locked="0"/>
    </xf>
    <xf numFmtId="0" fontId="8" fillId="0" borderId="32" xfId="6" applyFont="1" applyBorder="1" applyAlignment="1" applyProtection="1">
      <alignment horizontal="center"/>
      <protection locked="0"/>
    </xf>
    <xf numFmtId="165" fontId="8" fillId="9" borderId="21" xfId="5" applyFont="1" applyFill="1" applyBorder="1" applyAlignment="1">
      <alignment horizontal="right"/>
    </xf>
    <xf numFmtId="165" fontId="8" fillId="9" borderId="12" xfId="5" applyFont="1" applyFill="1" applyBorder="1" applyAlignment="1">
      <alignment horizontal="right"/>
    </xf>
    <xf numFmtId="49" fontId="29" fillId="0" borderId="16" xfId="0" applyNumberFormat="1" applyFont="1" applyBorder="1" applyProtection="1">
      <protection locked="0"/>
    </xf>
    <xf numFmtId="0" fontId="8" fillId="9" borderId="8" xfId="6" applyFont="1" applyFill="1" applyBorder="1" applyAlignment="1">
      <alignment horizontal="center"/>
    </xf>
    <xf numFmtId="0" fontId="8" fillId="9" borderId="14" xfId="6" applyFont="1" applyFill="1" applyBorder="1" applyAlignment="1">
      <alignment horizontal="center"/>
    </xf>
    <xf numFmtId="0" fontId="8" fillId="9" borderId="33" xfId="6" applyFont="1" applyFill="1" applyBorder="1" applyAlignment="1">
      <alignment horizontal="center"/>
    </xf>
    <xf numFmtId="165" fontId="8" fillId="9" borderId="30" xfId="5" applyFont="1" applyFill="1" applyBorder="1" applyAlignment="1">
      <alignment horizontal="right"/>
    </xf>
    <xf numFmtId="0" fontId="8" fillId="0" borderId="1" xfId="6" applyFont="1" applyBorder="1" applyAlignment="1">
      <alignment horizontal="center"/>
    </xf>
    <xf numFmtId="0" fontId="7" fillId="0" borderId="1" xfId="6" applyBorder="1" applyAlignment="1" applyProtection="1">
      <alignment horizontal="center"/>
      <protection locked="0"/>
    </xf>
    <xf numFmtId="0" fontId="31" fillId="0" borderId="1" xfId="7" applyFont="1" applyFill="1" applyBorder="1" applyAlignment="1" applyProtection="1">
      <alignment horizontal="center"/>
      <protection locked="0"/>
    </xf>
    <xf numFmtId="165" fontId="8" fillId="9" borderId="8" xfId="5" applyFont="1" applyFill="1" applyBorder="1" applyAlignment="1">
      <alignment horizontal="right"/>
    </xf>
    <xf numFmtId="165" fontId="7" fillId="8" borderId="1" xfId="5" applyFont="1" applyFill="1" applyBorder="1" applyAlignment="1" applyProtection="1">
      <alignment horizontal="center"/>
      <protection locked="0"/>
    </xf>
    <xf numFmtId="0" fontId="22" fillId="8" borderId="1" xfId="6" applyFont="1" applyFill="1" applyBorder="1" applyAlignment="1" applyProtection="1">
      <alignment horizontal="center"/>
      <protection locked="0"/>
    </xf>
    <xf numFmtId="0" fontId="20" fillId="10" borderId="34" xfId="6" applyFont="1" applyFill="1" applyBorder="1" applyAlignment="1">
      <alignment horizontal="left"/>
    </xf>
    <xf numFmtId="0" fontId="20" fillId="10" borderId="16" xfId="6" applyFont="1" applyFill="1" applyBorder="1" applyAlignment="1">
      <alignment horizontal="left"/>
    </xf>
    <xf numFmtId="0" fontId="20" fillId="10" borderId="32" xfId="6" applyFont="1" applyFill="1" applyBorder="1" applyAlignment="1">
      <alignment horizontal="left"/>
    </xf>
    <xf numFmtId="0" fontId="8" fillId="9" borderId="0" xfId="6" applyFont="1" applyFill="1" applyAlignment="1">
      <alignment horizontal="right"/>
    </xf>
    <xf numFmtId="44" fontId="8" fillId="0" borderId="1" xfId="3" applyFont="1" applyFill="1" applyBorder="1" applyAlignment="1" applyProtection="1">
      <alignment horizontal="right"/>
    </xf>
    <xf numFmtId="0" fontId="17" fillId="8" borderId="0" xfId="6" applyFont="1" applyFill="1" applyAlignment="1" applyProtection="1">
      <alignment horizontal="right"/>
      <protection locked="0"/>
    </xf>
    <xf numFmtId="0" fontId="12" fillId="0" borderId="0" xfId="6" applyFont="1" applyAlignment="1" applyProtection="1">
      <alignment horizontal="left" vertical="center"/>
      <protection locked="0"/>
    </xf>
    <xf numFmtId="0" fontId="19" fillId="8" borderId="0" xfId="6" applyFont="1" applyFill="1" applyAlignment="1" applyProtection="1">
      <alignment horizontal="left" vertical="center"/>
      <protection locked="0"/>
    </xf>
    <xf numFmtId="0" fontId="12" fillId="8" borderId="0" xfId="6" applyFont="1" applyFill="1" applyAlignment="1" applyProtection="1">
      <alignment horizontal="left" vertical="center"/>
      <protection locked="0"/>
    </xf>
    <xf numFmtId="0" fontId="6" fillId="9" borderId="21" xfId="8" applyFont="1" applyFill="1" applyBorder="1" applyAlignment="1">
      <alignment horizontal="right" vertical="center" wrapText="1"/>
    </xf>
    <xf numFmtId="0" fontId="6" fillId="9" borderId="0" xfId="8" applyFont="1" applyFill="1" applyAlignment="1">
      <alignment horizontal="right" vertical="center" wrapText="1"/>
    </xf>
    <xf numFmtId="168" fontId="6" fillId="0" borderId="1" xfId="6" applyNumberFormat="1" applyFont="1" applyBorder="1" applyAlignment="1" applyProtection="1">
      <alignment horizontal="left" vertical="center" indent="1"/>
      <protection locked="0"/>
    </xf>
    <xf numFmtId="0" fontId="6" fillId="9" borderId="15" xfId="8" applyFont="1" applyFill="1" applyBorder="1" applyAlignment="1">
      <alignment horizontal="center" vertical="center" wrapText="1"/>
    </xf>
    <xf numFmtId="0" fontId="6" fillId="9" borderId="26" xfId="8" applyFont="1" applyFill="1" applyBorder="1" applyAlignment="1">
      <alignment horizontal="center" vertical="center" wrapText="1"/>
    </xf>
    <xf numFmtId="42" fontId="17" fillId="0" borderId="0" xfId="3" applyNumberFormat="1" applyFont="1" applyFill="1" applyBorder="1" applyAlignment="1" applyProtection="1">
      <alignment horizontal="right"/>
      <protection locked="0"/>
    </xf>
    <xf numFmtId="44" fontId="8" fillId="0" borderId="7" xfId="3" applyFont="1" applyFill="1" applyBorder="1" applyAlignment="1" applyProtection="1">
      <alignment horizontal="right"/>
    </xf>
    <xf numFmtId="164" fontId="8" fillId="0" borderId="1" xfId="4" applyNumberFormat="1" applyFont="1" applyFill="1" applyBorder="1" applyAlignment="1" applyProtection="1">
      <alignment horizontal="right"/>
    </xf>
    <xf numFmtId="0" fontId="12" fillId="0" borderId="1" xfId="6" applyFont="1" applyBorder="1" applyAlignment="1" applyProtection="1">
      <alignment horizontal="left" vertical="center"/>
      <protection locked="0"/>
    </xf>
    <xf numFmtId="14" fontId="6" fillId="8" borderId="16" xfId="8" applyNumberFormat="1" applyFont="1" applyFill="1" applyBorder="1" applyAlignment="1" applyProtection="1">
      <alignment horizontal="center" vertical="center" wrapText="1"/>
      <protection locked="0"/>
    </xf>
    <xf numFmtId="0" fontId="6" fillId="8" borderId="26" xfId="8" applyFont="1" applyFill="1" applyBorder="1" applyAlignment="1" applyProtection="1">
      <alignment horizontal="center" vertical="center" wrapText="1"/>
      <protection locked="0"/>
    </xf>
    <xf numFmtId="0" fontId="6" fillId="9" borderId="15" xfId="6" applyFont="1" applyFill="1" applyBorder="1" applyAlignment="1">
      <alignment horizontal="center" vertical="center"/>
    </xf>
    <xf numFmtId="0" fontId="6" fillId="9" borderId="16" xfId="6" applyFont="1" applyFill="1" applyBorder="1" applyAlignment="1">
      <alignment horizontal="center" vertical="center"/>
    </xf>
    <xf numFmtId="0" fontId="6" fillId="9" borderId="26" xfId="6" applyFont="1" applyFill="1" applyBorder="1" applyAlignment="1">
      <alignment horizontal="center" vertical="center"/>
    </xf>
    <xf numFmtId="0" fontId="20" fillId="8" borderId="15" xfId="6" applyFont="1" applyFill="1" applyBorder="1" applyAlignment="1" applyProtection="1">
      <alignment horizontal="center"/>
      <protection locked="0"/>
    </xf>
    <xf numFmtId="0" fontId="20" fillId="8" borderId="32" xfId="6" applyFont="1" applyFill="1" applyBorder="1" applyAlignment="1" applyProtection="1">
      <alignment horizontal="center"/>
      <protection locked="0"/>
    </xf>
    <xf numFmtId="0" fontId="6" fillId="13" borderId="21" xfId="8" applyFont="1" applyFill="1" applyBorder="1" applyAlignment="1">
      <alignment horizontal="right" vertical="center" wrapText="1"/>
    </xf>
    <xf numFmtId="0" fontId="6" fillId="13" borderId="0" xfId="8" applyFont="1" applyFill="1" applyAlignment="1">
      <alignment horizontal="right" vertical="center" wrapText="1"/>
    </xf>
    <xf numFmtId="0" fontId="29" fillId="9" borderId="1" xfId="0" applyFont="1" applyFill="1" applyBorder="1" applyAlignment="1">
      <alignment horizontal="right" vertical="center"/>
    </xf>
    <xf numFmtId="0" fontId="33" fillId="9" borderId="15" xfId="0" applyFont="1" applyFill="1" applyBorder="1" applyAlignment="1">
      <alignment horizontal="center" vertical="center"/>
    </xf>
    <xf numFmtId="0" fontId="33" fillId="9" borderId="26" xfId="0" applyFont="1" applyFill="1" applyBorder="1" applyAlignment="1">
      <alignment horizontal="center" vertical="center"/>
    </xf>
    <xf numFmtId="0" fontId="6" fillId="8" borderId="1" xfId="0" applyFont="1" applyFill="1" applyBorder="1" applyAlignment="1" applyProtection="1">
      <alignment horizontal="center" vertical="center"/>
      <protection locked="0"/>
    </xf>
    <xf numFmtId="165" fontId="10" fillId="10" borderId="23" xfId="5" applyFont="1" applyFill="1" applyBorder="1" applyAlignment="1" applyProtection="1">
      <alignment horizontal="left" wrapText="1"/>
      <protection locked="0"/>
    </xf>
    <xf numFmtId="165" fontId="10" fillId="10" borderId="24" xfId="5" applyFont="1" applyFill="1" applyBorder="1" applyAlignment="1" applyProtection="1">
      <alignment horizontal="left" wrapText="1"/>
      <protection locked="0"/>
    </xf>
    <xf numFmtId="165" fontId="10" fillId="10" borderId="25" xfId="5" applyFont="1" applyFill="1" applyBorder="1" applyAlignment="1" applyProtection="1">
      <alignment horizontal="left" wrapText="1"/>
      <protection locked="0"/>
    </xf>
    <xf numFmtId="0" fontId="6" fillId="9" borderId="21" xfId="0" applyFont="1" applyFill="1" applyBorder="1" applyAlignment="1">
      <alignment horizontal="right" vertical="center"/>
    </xf>
    <xf numFmtId="0" fontId="6" fillId="9" borderId="0" xfId="0" applyFont="1" applyFill="1" applyAlignment="1">
      <alignment horizontal="right" vertical="center"/>
    </xf>
    <xf numFmtId="0" fontId="6" fillId="9" borderId="12" xfId="0" applyFont="1" applyFill="1" applyBorder="1" applyAlignment="1">
      <alignment horizontal="right" vertical="center"/>
    </xf>
    <xf numFmtId="0" fontId="8" fillId="12" borderId="39" xfId="0" applyFont="1" applyFill="1" applyBorder="1" applyAlignment="1">
      <alignment horizontal="left" indent="1"/>
    </xf>
    <xf numFmtId="0" fontId="8" fillId="12" borderId="14" xfId="0" applyFont="1" applyFill="1" applyBorder="1" applyAlignment="1">
      <alignment horizontal="left" indent="1"/>
    </xf>
    <xf numFmtId="165" fontId="19" fillId="8" borderId="34" xfId="5" applyFont="1" applyFill="1" applyBorder="1" applyAlignment="1" applyProtection="1">
      <alignment horizontal="right" wrapText="1" indent="1"/>
      <protection locked="0"/>
    </xf>
    <xf numFmtId="165" fontId="19" fillId="8" borderId="16" xfId="5" applyFont="1" applyFill="1" applyBorder="1" applyAlignment="1" applyProtection="1">
      <alignment horizontal="right" wrapText="1" indent="1"/>
      <protection locked="0"/>
    </xf>
    <xf numFmtId="170" fontId="13" fillId="8" borderId="16" xfId="5" applyNumberFormat="1" applyFont="1" applyFill="1" applyBorder="1" applyAlignment="1" applyProtection="1">
      <alignment horizontal="left"/>
      <protection locked="0"/>
    </xf>
    <xf numFmtId="0" fontId="9" fillId="10" borderId="38" xfId="6" applyFont="1" applyFill="1" applyBorder="1" applyAlignment="1" applyProtection="1">
      <alignment horizontal="center" vertical="center" wrapText="1"/>
      <protection locked="0"/>
    </xf>
    <xf numFmtId="0" fontId="9" fillId="10" borderId="36" xfId="6" applyFont="1" applyFill="1" applyBorder="1" applyAlignment="1" applyProtection="1">
      <alignment horizontal="center" vertical="center" wrapText="1"/>
      <protection locked="0"/>
    </xf>
    <xf numFmtId="0" fontId="9" fillId="10" borderId="37" xfId="6" applyFont="1" applyFill="1" applyBorder="1" applyAlignment="1" applyProtection="1">
      <alignment horizontal="center" vertical="center" wrapText="1"/>
      <protection locked="0"/>
    </xf>
    <xf numFmtId="0" fontId="25" fillId="8" borderId="1" xfId="0" applyFont="1" applyFill="1" applyBorder="1" applyAlignment="1" applyProtection="1">
      <alignment horizontal="center" wrapText="1"/>
      <protection locked="0"/>
    </xf>
    <xf numFmtId="173" fontId="6" fillId="3" borderId="1" xfId="0" applyNumberFormat="1" applyFont="1" applyFill="1" applyBorder="1" applyAlignment="1">
      <alignment horizontal="center"/>
    </xf>
    <xf numFmtId="0" fontId="6" fillId="0" borderId="14" xfId="0" applyFont="1" applyBorder="1" applyAlignment="1" applyProtection="1">
      <alignment horizontal="center" vertical="center"/>
      <protection locked="0"/>
    </xf>
    <xf numFmtId="0" fontId="42" fillId="15" borderId="67" xfId="0" applyFont="1" applyFill="1" applyBorder="1" applyAlignment="1" applyProtection="1">
      <alignment horizontal="center" wrapText="1"/>
      <protection locked="0"/>
    </xf>
    <xf numFmtId="0" fontId="42" fillId="15" borderId="12" xfId="0" applyFont="1" applyFill="1" applyBorder="1" applyAlignment="1" applyProtection="1">
      <alignment horizontal="center" wrapText="1"/>
      <protection locked="0"/>
    </xf>
    <xf numFmtId="0" fontId="6" fillId="0" borderId="0" xfId="0" applyFont="1" applyAlignment="1" applyProtection="1">
      <alignment horizontal="right" vertical="center"/>
      <protection locked="0"/>
    </xf>
    <xf numFmtId="43" fontId="42" fillId="15" borderId="18" xfId="0" applyNumberFormat="1" applyFont="1" applyFill="1" applyBorder="1" applyAlignment="1" applyProtection="1">
      <alignment horizontal="center"/>
      <protection locked="0"/>
    </xf>
    <xf numFmtId="43" fontId="42" fillId="15" borderId="20" xfId="0" applyNumberFormat="1" applyFont="1" applyFill="1" applyBorder="1" applyAlignment="1" applyProtection="1">
      <alignment horizontal="center"/>
      <protection locked="0"/>
    </xf>
    <xf numFmtId="0" fontId="8" fillId="0" borderId="1" xfId="0" applyFont="1" applyBorder="1" applyAlignment="1" applyProtection="1">
      <alignment horizontal="center"/>
      <protection locked="0"/>
    </xf>
    <xf numFmtId="0" fontId="8" fillId="7" borderId="1" xfId="0" applyFont="1" applyFill="1" applyBorder="1" applyAlignment="1" applyProtection="1">
      <alignment horizontal="center"/>
      <protection locked="0"/>
    </xf>
    <xf numFmtId="1" fontId="8" fillId="7" borderId="1" xfId="0" applyNumberFormat="1" applyFont="1" applyFill="1" applyBorder="1" applyAlignment="1" applyProtection="1">
      <alignment horizontal="center"/>
      <protection locked="0"/>
    </xf>
    <xf numFmtId="0" fontId="9" fillId="0" borderId="40" xfId="0" applyFont="1" applyBorder="1" applyAlignment="1" applyProtection="1">
      <alignment horizontal="center"/>
      <protection locked="0"/>
    </xf>
    <xf numFmtId="0" fontId="9" fillId="0" borderId="41" xfId="0" applyFont="1" applyBorder="1" applyAlignment="1" applyProtection="1">
      <alignment horizontal="center"/>
      <protection locked="0"/>
    </xf>
    <xf numFmtId="0" fontId="43" fillId="15" borderId="14" xfId="0" applyFont="1" applyFill="1" applyBorder="1" applyAlignment="1" applyProtection="1">
      <alignment horizontal="center" vertical="center"/>
      <protection locked="0"/>
    </xf>
    <xf numFmtId="0" fontId="9" fillId="0" borderId="48" xfId="0" applyFont="1" applyBorder="1" applyAlignment="1" applyProtection="1">
      <alignment horizontal="center"/>
      <protection locked="0"/>
    </xf>
    <xf numFmtId="0" fontId="9" fillId="0" borderId="49" xfId="0" applyFont="1" applyBorder="1" applyAlignment="1" applyProtection="1">
      <alignment horizontal="center"/>
      <protection locked="0"/>
    </xf>
    <xf numFmtId="43" fontId="6" fillId="3" borderId="23" xfId="0" applyNumberFormat="1" applyFont="1" applyFill="1" applyBorder="1"/>
    <xf numFmtId="43" fontId="6" fillId="3" borderId="25" xfId="0" applyNumberFormat="1" applyFont="1" applyFill="1" applyBorder="1"/>
    <xf numFmtId="0" fontId="7" fillId="3" borderId="25" xfId="0" applyFont="1" applyFill="1" applyBorder="1"/>
    <xf numFmtId="0" fontId="42" fillId="15" borderId="65" xfId="0" applyFont="1" applyFill="1" applyBorder="1" applyAlignment="1" applyProtection="1">
      <alignment horizontal="center" wrapText="1"/>
      <protection locked="0"/>
    </xf>
    <xf numFmtId="0" fontId="42" fillId="15" borderId="66" xfId="0" applyFont="1" applyFill="1" applyBorder="1" applyAlignment="1" applyProtection="1">
      <alignment horizontal="center" wrapText="1"/>
      <protection locked="0"/>
    </xf>
    <xf numFmtId="0" fontId="24" fillId="0" borderId="0" xfId="11" applyFill="1" applyAlignment="1" applyProtection="1">
      <alignment horizontal="center" wrapText="1"/>
      <protection hidden="1"/>
    </xf>
    <xf numFmtId="0" fontId="60" fillId="0" borderId="0" xfId="11" applyFont="1" applyFill="1" applyAlignment="1" applyProtection="1">
      <alignment horizontal="center"/>
      <protection hidden="1"/>
    </xf>
    <xf numFmtId="0" fontId="24" fillId="0" borderId="0" xfId="11" applyFill="1" applyAlignment="1" applyProtection="1">
      <alignment horizontal="center"/>
      <protection hidden="1"/>
    </xf>
    <xf numFmtId="10" fontId="24" fillId="3" borderId="62" xfId="12" applyNumberFormat="1" applyFill="1" applyBorder="1" applyAlignment="1" applyProtection="1">
      <alignment horizontal="center"/>
      <protection locked="0" hidden="1"/>
    </xf>
    <xf numFmtId="10" fontId="24" fillId="3" borderId="64" xfId="12" applyNumberFormat="1" applyFill="1" applyBorder="1" applyAlignment="1" applyProtection="1">
      <alignment horizontal="center"/>
      <protection locked="0" hidden="1"/>
    </xf>
    <xf numFmtId="0" fontId="9" fillId="20" borderId="0" xfId="11" applyFont="1" applyFill="1" applyAlignment="1" applyProtection="1">
      <alignment horizontal="center"/>
      <protection hidden="1"/>
    </xf>
    <xf numFmtId="43" fontId="42" fillId="15" borderId="18" xfId="0" applyNumberFormat="1" applyFont="1" applyFill="1" applyBorder="1" applyAlignment="1">
      <alignment horizontal="center"/>
    </xf>
    <xf numFmtId="43" fontId="42" fillId="15" borderId="20" xfId="0" applyNumberFormat="1" applyFont="1" applyFill="1" applyBorder="1" applyAlignment="1">
      <alignment horizontal="center"/>
    </xf>
    <xf numFmtId="43" fontId="41" fillId="3" borderId="23" xfId="0" applyNumberFormat="1" applyFont="1" applyFill="1" applyBorder="1"/>
    <xf numFmtId="43" fontId="41" fillId="3" borderId="25" xfId="0" applyNumberFormat="1" applyFont="1" applyFill="1" applyBorder="1"/>
    <xf numFmtId="0" fontId="9" fillId="0" borderId="48" xfId="0" applyFont="1" applyBorder="1" applyAlignment="1">
      <alignment horizontal="center"/>
    </xf>
    <xf numFmtId="0" fontId="9" fillId="0" borderId="49" xfId="0" applyFont="1" applyBorder="1" applyAlignment="1">
      <alignment horizontal="center"/>
    </xf>
    <xf numFmtId="0" fontId="40" fillId="3" borderId="25" xfId="0" applyFont="1" applyFill="1" applyBorder="1"/>
    <xf numFmtId="0" fontId="9" fillId="0" borderId="40" xfId="0" applyFont="1" applyBorder="1" applyAlignment="1">
      <alignment horizontal="center"/>
    </xf>
    <xf numFmtId="0" fontId="9" fillId="0" borderId="41" xfId="0" applyFont="1" applyBorder="1" applyAlignment="1">
      <alignment horizontal="center"/>
    </xf>
    <xf numFmtId="0" fontId="8" fillId="0" borderId="8" xfId="0" applyFont="1" applyBorder="1" applyAlignment="1">
      <alignment horizontal="center"/>
    </xf>
    <xf numFmtId="0" fontId="8" fillId="0" borderId="14" xfId="0" applyFont="1" applyBorder="1" applyAlignment="1">
      <alignment horizontal="center"/>
    </xf>
    <xf numFmtId="0" fontId="8" fillId="7" borderId="15" xfId="0" applyFont="1" applyFill="1" applyBorder="1" applyAlignment="1">
      <alignment horizontal="center"/>
    </xf>
    <xf numFmtId="0" fontId="8" fillId="7" borderId="16" xfId="0" applyFont="1" applyFill="1" applyBorder="1" applyAlignment="1">
      <alignment horizontal="center"/>
    </xf>
    <xf numFmtId="0" fontId="9" fillId="0" borderId="0" xfId="0" applyFont="1" applyAlignment="1">
      <alignment horizontal="right"/>
    </xf>
    <xf numFmtId="0" fontId="6" fillId="0" borderId="0" xfId="0" applyFont="1"/>
    <xf numFmtId="0" fontId="0" fillId="0" borderId="0" xfId="0"/>
    <xf numFmtId="0" fontId="51" fillId="0" borderId="0" xfId="10" applyFont="1" applyBorder="1" applyAlignment="1" applyProtection="1">
      <protection locked="0"/>
    </xf>
    <xf numFmtId="0" fontId="79" fillId="0" borderId="0" xfId="11" applyFont="1" applyFill="1" applyAlignment="1" applyProtection="1">
      <alignment horizontal="center"/>
      <protection hidden="1"/>
    </xf>
    <xf numFmtId="10" fontId="43" fillId="0" borderId="0" xfId="19" applyNumberFormat="1" applyFont="1" applyFill="1" applyBorder="1" applyAlignment="1" applyProtection="1">
      <alignment horizontal="center"/>
      <protection locked="0"/>
    </xf>
    <xf numFmtId="44" fontId="0" fillId="3" borderId="1" xfId="0" applyNumberFormat="1" applyFill="1" applyBorder="1" applyProtection="1">
      <protection locked="0"/>
    </xf>
    <xf numFmtId="167" fontId="0" fillId="3" borderId="1" xfId="0" applyNumberFormat="1" applyFill="1" applyBorder="1" applyProtection="1">
      <protection locked="0"/>
    </xf>
  </cellXfs>
  <cellStyles count="25">
    <cellStyle name="Comma 2" xfId="13" xr:uid="{4BAC6BCF-EE58-4F0E-AD75-5F96E3075F9F}"/>
    <cellStyle name="Comma 3" xfId="15" xr:uid="{F1EF37D1-7FF1-40F1-A2A6-DBA7D78D6E54}"/>
    <cellStyle name="Comma 5" xfId="16" xr:uid="{EE430CC6-A4CE-4539-BF8F-DC6EC29E141B}"/>
    <cellStyle name="Currency" xfId="3" builtinId="4"/>
    <cellStyle name="Currency 2" xfId="2" xr:uid="{9AA3DC74-D57A-4070-A616-BC992B567D50}"/>
    <cellStyle name="Currency 2 3" xfId="22" xr:uid="{2F440140-1569-4FAB-AC78-BDDD938566E5}"/>
    <cellStyle name="Currency 3" xfId="20" xr:uid="{D81430E7-34F2-410B-816A-D08A729D53F5}"/>
    <cellStyle name="Currency 4" xfId="24" xr:uid="{20258183-6E22-4635-BDD7-7C976A83F8D2}"/>
    <cellStyle name="Hyperlink" xfId="7" builtinId="8"/>
    <cellStyle name="Normal" xfId="0" builtinId="0"/>
    <cellStyle name="Normal 10" xfId="14" xr:uid="{84540B1E-60C6-4A18-B74E-EFF86106B46D}"/>
    <cellStyle name="Normal 2" xfId="1" xr:uid="{81A07C87-5AE1-43F2-9939-8D3B696A4460}"/>
    <cellStyle name="Normal 3" xfId="9" xr:uid="{6E2646BE-1974-42CA-AA7D-E7B07794E2A7}"/>
    <cellStyle name="Normal 4" xfId="10" xr:uid="{F9FB6993-ABD1-46D6-90C6-CA0D65291952}"/>
    <cellStyle name="Normal 5" xfId="18" xr:uid="{51ECB5AA-3822-42DA-80D3-F4902F2F9906}"/>
    <cellStyle name="Normal 6" xfId="11" xr:uid="{13B51BE1-8460-4E1D-8899-2DF76F724801}"/>
    <cellStyle name="Normal 6 2" xfId="12" xr:uid="{09ECBB29-1EEE-4D99-B1AC-A2766496A700}"/>
    <cellStyle name="Normal 7" xfId="21" xr:uid="{D1CF7B05-BF77-4D64-BBDC-2F55AAEC71E5}"/>
    <cellStyle name="Normal 8" xfId="23" xr:uid="{59B88967-B03C-4B7B-BE47-11A1FFF03348}"/>
    <cellStyle name="Normal_2001 - Service &amp; Maintenance bidtemp - LA1" xfId="5" xr:uid="{913A5C89-0B58-4348-8873-54DF6AA11BD3}"/>
    <cellStyle name="Normal_Jobsite Info Sheet 6-98" xfId="8" xr:uid="{E6F9886B-968B-4F08-83A0-D788B382CCFA}"/>
    <cellStyle name="Normal_maint-jobdata" xfId="6" xr:uid="{57E77A2F-DD00-4FE3-8EDF-F174919D054F}"/>
    <cellStyle name="Percent" xfId="4" builtinId="5"/>
    <cellStyle name="Percent 2" xfId="17" xr:uid="{F7854558-8CE6-4443-A8C0-9F8EF781B3DB}"/>
    <cellStyle name="Percent 2 2" xfId="19" xr:uid="{45D1C342-DF6A-40B3-AE93-A5A0A7B7FEF2}"/>
  </cellStyles>
  <dxfs count="23">
    <dxf>
      <font>
        <color rgb="FF9C0006"/>
      </font>
      <fill>
        <patternFill>
          <bgColor rgb="FFFFC7CE"/>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FF00"/>
        </patternFill>
      </fill>
    </dxf>
    <dxf>
      <fill>
        <patternFill>
          <bgColor rgb="FFFFC000"/>
        </patternFill>
      </fill>
    </dxf>
    <dxf>
      <font>
        <color theme="0"/>
      </font>
    </dxf>
    <dxf>
      <font>
        <color theme="0"/>
      </font>
    </dxf>
    <dxf>
      <fill>
        <patternFill>
          <bgColor rgb="FFFFC000"/>
        </patternFill>
      </fill>
    </dxf>
    <dxf>
      <fill>
        <patternFill>
          <bgColor rgb="FF00B0F0"/>
        </patternFill>
      </fill>
    </dxf>
    <dxf>
      <font>
        <color theme="0"/>
      </font>
    </dxf>
    <dxf>
      <fill>
        <patternFill>
          <bgColor rgb="FFFFC000"/>
        </patternFill>
      </fill>
    </dxf>
    <dxf>
      <fill>
        <patternFill>
          <bgColor rgb="FFFFC000"/>
        </patternFill>
      </fill>
    </dxf>
    <dxf>
      <font>
        <color theme="0"/>
      </font>
    </dxf>
    <dxf>
      <fill>
        <patternFill>
          <bgColor rgb="FFFFC000"/>
        </patternFill>
      </fill>
    </dxf>
    <dxf>
      <fill>
        <patternFill>
          <bgColor rgb="FFFFC000"/>
        </patternFill>
      </fill>
    </dxf>
    <dxf>
      <fill>
        <patternFill>
          <bgColor rgb="FF00B0F0"/>
        </patternFill>
      </fill>
    </dxf>
    <dxf>
      <font>
        <color theme="0"/>
      </font>
    </dxf>
    <dxf>
      <fill>
        <patternFill>
          <bgColor rgb="FFFFC000"/>
        </patternFill>
      </fill>
    </dxf>
    <dxf>
      <fill>
        <patternFill>
          <bgColor rgb="FFFFC000"/>
        </patternFill>
      </fill>
    </dxf>
  </dxfs>
  <tableStyles count="0" defaultTableStyle="TableStyleMedium9" defaultPivotStyle="PivotStyleLight16"/>
  <colors>
    <mruColors>
      <color rgb="FFFFA7A7"/>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xdr:from>
      <xdr:col>2</xdr:col>
      <xdr:colOff>85725</xdr:colOff>
      <xdr:row>15</xdr:row>
      <xdr:rowOff>47625</xdr:rowOff>
    </xdr:from>
    <xdr:to>
      <xdr:col>6</xdr:col>
      <xdr:colOff>257539</xdr:colOff>
      <xdr:row>15</xdr:row>
      <xdr:rowOff>2372049</xdr:rowOff>
    </xdr:to>
    <xdr:pic>
      <xdr:nvPicPr>
        <xdr:cNvPr id="19" name="Picture 3" descr="A screenshot of a computer&#10;&#10;AI-generated content may be incorrect.">
          <a:extLst>
            <a:ext uri="{FF2B5EF4-FFF2-40B4-BE49-F238E27FC236}">
              <a16:creationId xmlns:a16="http://schemas.microsoft.com/office/drawing/2014/main" id="{59E53B47-0B1E-D86B-3C8B-9CD1D1DE27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304925" y="2971800"/>
          <a:ext cx="2610214" cy="232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66675</xdr:colOff>
      <xdr:row>19</xdr:row>
      <xdr:rowOff>95250</xdr:rowOff>
    </xdr:from>
    <xdr:to>
      <xdr:col>5</xdr:col>
      <xdr:colOff>257175</xdr:colOff>
      <xdr:row>19</xdr:row>
      <xdr:rowOff>762000</xdr:rowOff>
    </xdr:to>
    <xdr:pic>
      <xdr:nvPicPr>
        <xdr:cNvPr id="20" name="Picture 19" descr="A white background with black text&#10;&#10;AI-generated content may be incorrect.">
          <a:extLst>
            <a:ext uri="{FF2B5EF4-FFF2-40B4-BE49-F238E27FC236}">
              <a16:creationId xmlns:a16="http://schemas.microsoft.com/office/drawing/2014/main" id="{920B88C3-21EE-BCF2-89F2-67F66C6C9C2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5875" y="6048375"/>
          <a:ext cx="2019300"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95250</xdr:colOff>
      <xdr:row>22</xdr:row>
      <xdr:rowOff>57150</xdr:rowOff>
    </xdr:from>
    <xdr:to>
      <xdr:col>10</xdr:col>
      <xdr:colOff>279143</xdr:colOff>
      <xdr:row>22</xdr:row>
      <xdr:rowOff>2143125</xdr:rowOff>
    </xdr:to>
    <xdr:pic>
      <xdr:nvPicPr>
        <xdr:cNvPr id="21" name="Picture 20" descr="A close-up of a check&#10;&#10;AI-generated content may be incorrect.">
          <a:extLst>
            <a:ext uri="{FF2B5EF4-FFF2-40B4-BE49-F238E27FC236}">
              <a16:creationId xmlns:a16="http://schemas.microsoft.com/office/drawing/2014/main" id="{D2E855BA-ED88-048C-7EFD-3B2749F5E5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1314450" y="7219950"/>
          <a:ext cx="5060693" cy="2085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85725</xdr:colOff>
      <xdr:row>27</xdr:row>
      <xdr:rowOff>142875</xdr:rowOff>
    </xdr:from>
    <xdr:to>
      <xdr:col>9</xdr:col>
      <xdr:colOff>247650</xdr:colOff>
      <xdr:row>27</xdr:row>
      <xdr:rowOff>447675</xdr:rowOff>
    </xdr:to>
    <xdr:pic>
      <xdr:nvPicPr>
        <xdr:cNvPr id="22" name="Picture 10">
          <a:extLst>
            <a:ext uri="{FF2B5EF4-FFF2-40B4-BE49-F238E27FC236}">
              <a16:creationId xmlns:a16="http://schemas.microsoft.com/office/drawing/2014/main" id="{B0187D86-EF8B-E2DD-4054-38AD218789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04925" y="10353675"/>
          <a:ext cx="4429125"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47625</xdr:colOff>
      <xdr:row>31</xdr:row>
      <xdr:rowOff>114300</xdr:rowOff>
    </xdr:from>
    <xdr:to>
      <xdr:col>13</xdr:col>
      <xdr:colOff>95250</xdr:colOff>
      <xdr:row>31</xdr:row>
      <xdr:rowOff>971550</xdr:rowOff>
    </xdr:to>
    <xdr:pic>
      <xdr:nvPicPr>
        <xdr:cNvPr id="23" name="Picture 22" descr="A calendar with months and a few squares&#10;&#10;AI-generated content may be incorrect.">
          <a:extLst>
            <a:ext uri="{FF2B5EF4-FFF2-40B4-BE49-F238E27FC236}">
              <a16:creationId xmlns:a16="http://schemas.microsoft.com/office/drawing/2014/main" id="{3D435781-860C-4EFD-C969-9F10CE380DB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66825" y="11468100"/>
          <a:ext cx="6753225"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34</xdr:row>
      <xdr:rowOff>104775</xdr:rowOff>
    </xdr:from>
    <xdr:to>
      <xdr:col>13</xdr:col>
      <xdr:colOff>161925</xdr:colOff>
      <xdr:row>34</xdr:row>
      <xdr:rowOff>971550</xdr:rowOff>
    </xdr:to>
    <xdr:pic>
      <xdr:nvPicPr>
        <xdr:cNvPr id="24" name="Picture 23" descr="A calendar with numbers and words&#10;&#10;AI-generated content may be incorrect.">
          <a:extLst>
            <a:ext uri="{FF2B5EF4-FFF2-40B4-BE49-F238E27FC236}">
              <a16:creationId xmlns:a16="http://schemas.microsoft.com/office/drawing/2014/main" id="{82403307-B514-DF3B-E2E8-0FEC49EE9C2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76350" y="12858750"/>
          <a:ext cx="6810375" cy="866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37</xdr:row>
      <xdr:rowOff>123825</xdr:rowOff>
    </xdr:from>
    <xdr:to>
      <xdr:col>13</xdr:col>
      <xdr:colOff>133350</xdr:colOff>
      <xdr:row>37</xdr:row>
      <xdr:rowOff>990600</xdr:rowOff>
    </xdr:to>
    <xdr:pic>
      <xdr:nvPicPr>
        <xdr:cNvPr id="25" name="Picture 1" descr="A white rectangular sign with black text&#10;&#10;AI-generated content may be incorrect.">
          <a:extLst>
            <a:ext uri="{FF2B5EF4-FFF2-40B4-BE49-F238E27FC236}">
              <a16:creationId xmlns:a16="http://schemas.microsoft.com/office/drawing/2014/main" id="{4D6050BD-34CD-0417-D80A-1980CB25985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76350" y="14268450"/>
          <a:ext cx="6781800" cy="866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95249</xdr:colOff>
      <xdr:row>46</xdr:row>
      <xdr:rowOff>95250</xdr:rowOff>
    </xdr:from>
    <xdr:to>
      <xdr:col>11</xdr:col>
      <xdr:colOff>44342</xdr:colOff>
      <xdr:row>46</xdr:row>
      <xdr:rowOff>1562100</xdr:rowOff>
    </xdr:to>
    <xdr:pic>
      <xdr:nvPicPr>
        <xdr:cNvPr id="26" name="Picture 15" descr="A yellow box with black text&#10;&#10;AI-generated content may be incorrect.">
          <a:extLst>
            <a:ext uri="{FF2B5EF4-FFF2-40B4-BE49-F238E27FC236}">
              <a16:creationId xmlns:a16="http://schemas.microsoft.com/office/drawing/2014/main" id="{4CE31153-4BAB-F227-2E7C-A725BB66EFB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314449" y="16840200"/>
          <a:ext cx="5435493" cy="146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142876</xdr:colOff>
      <xdr:row>50</xdr:row>
      <xdr:rowOff>57150</xdr:rowOff>
    </xdr:from>
    <xdr:to>
      <xdr:col>11</xdr:col>
      <xdr:colOff>428626</xdr:colOff>
      <xdr:row>50</xdr:row>
      <xdr:rowOff>1164253</xdr:rowOff>
    </xdr:to>
    <xdr:pic>
      <xdr:nvPicPr>
        <xdr:cNvPr id="27" name="Picture 16" descr="A black line on a white background&#10;&#10;AI-generated content may be incorrect.">
          <a:extLst>
            <a:ext uri="{FF2B5EF4-FFF2-40B4-BE49-F238E27FC236}">
              <a16:creationId xmlns:a16="http://schemas.microsoft.com/office/drawing/2014/main" id="{A72F84C8-6723-1F80-3361-97BA2EAFE8F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62076" y="19030950"/>
          <a:ext cx="5772150" cy="1107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76199</xdr:colOff>
      <xdr:row>55</xdr:row>
      <xdr:rowOff>95250</xdr:rowOff>
    </xdr:from>
    <xdr:to>
      <xdr:col>11</xdr:col>
      <xdr:colOff>564992</xdr:colOff>
      <xdr:row>55</xdr:row>
      <xdr:rowOff>857250</xdr:rowOff>
    </xdr:to>
    <xdr:pic>
      <xdr:nvPicPr>
        <xdr:cNvPr id="28" name="Picture 17" descr="A white rectangular object with black text&#10;&#10;AI-generated content may be incorrect.">
          <a:extLst>
            <a:ext uri="{FF2B5EF4-FFF2-40B4-BE49-F238E27FC236}">
              <a16:creationId xmlns:a16="http://schemas.microsoft.com/office/drawing/2014/main" id="{BFAD3892-3665-CD4F-AC9F-0CE9C678CAF4}"/>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295399" y="21050250"/>
          <a:ext cx="5975193"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5</xdr:row>
          <xdr:rowOff>142875</xdr:rowOff>
        </xdr:from>
        <xdr:to>
          <xdr:col>2</xdr:col>
          <xdr:colOff>114300</xdr:colOff>
          <xdr:row>6</xdr:row>
          <xdr:rowOff>19050</xdr:rowOff>
        </xdr:to>
        <xdr:sp macro="" textlink="">
          <xdr:nvSpPr>
            <xdr:cNvPr id="27649" name="Check Box 1"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66675</xdr:rowOff>
        </xdr:from>
        <xdr:to>
          <xdr:col>1</xdr:col>
          <xdr:colOff>304800</xdr:colOff>
          <xdr:row>29</xdr:row>
          <xdr:rowOff>19050</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01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142875</xdr:rowOff>
        </xdr:from>
        <xdr:to>
          <xdr:col>1</xdr:col>
          <xdr:colOff>304800</xdr:colOff>
          <xdr:row>28</xdr:row>
          <xdr:rowOff>28575</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01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57150</xdr:rowOff>
        </xdr:from>
        <xdr:to>
          <xdr:col>1</xdr:col>
          <xdr:colOff>304800</xdr:colOff>
          <xdr:row>30</xdr:row>
          <xdr:rowOff>9525</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1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76200</xdr:rowOff>
        </xdr:from>
        <xdr:to>
          <xdr:col>1</xdr:col>
          <xdr:colOff>304800</xdr:colOff>
          <xdr:row>37</xdr:row>
          <xdr:rowOff>0</xdr:rowOff>
        </xdr:to>
        <xdr:sp macro="" textlink="">
          <xdr:nvSpPr>
            <xdr:cNvPr id="27653" name="Check Box 5" hidden="1">
              <a:extLst>
                <a:ext uri="{63B3BB69-23CF-44E3-9099-C40C66FF867C}">
                  <a14:compatExt spid="_x0000_s27653"/>
                </a:ext>
                <a:ext uri="{FF2B5EF4-FFF2-40B4-BE49-F238E27FC236}">
                  <a16:creationId xmlns:a16="http://schemas.microsoft.com/office/drawing/2014/main" id="{00000000-0008-0000-0100-00000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76200</xdr:rowOff>
        </xdr:from>
        <xdr:to>
          <xdr:col>1</xdr:col>
          <xdr:colOff>304800</xdr:colOff>
          <xdr:row>40</xdr:row>
          <xdr:rowOff>0</xdr:rowOff>
        </xdr:to>
        <xdr:sp macro="" textlink="">
          <xdr:nvSpPr>
            <xdr:cNvPr id="27654" name="Check Box 6" hidden="1">
              <a:extLst>
                <a:ext uri="{63B3BB69-23CF-44E3-9099-C40C66FF867C}">
                  <a14:compatExt spid="_x0000_s27654"/>
                </a:ext>
                <a:ext uri="{FF2B5EF4-FFF2-40B4-BE49-F238E27FC236}">
                  <a16:creationId xmlns:a16="http://schemas.microsoft.com/office/drawing/2014/main" id="{00000000-0008-0000-0100-00000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9</xdr:row>
          <xdr:rowOff>57150</xdr:rowOff>
        </xdr:from>
        <xdr:to>
          <xdr:col>4</xdr:col>
          <xdr:colOff>133350</xdr:colOff>
          <xdr:row>10</xdr:row>
          <xdr:rowOff>0</xdr:rowOff>
        </xdr:to>
        <xdr:sp macro="" textlink="">
          <xdr:nvSpPr>
            <xdr:cNvPr id="27655" name="Check Box 7" hidden="1">
              <a:extLst>
                <a:ext uri="{63B3BB69-23CF-44E3-9099-C40C66FF867C}">
                  <a14:compatExt spid="_x0000_s27655"/>
                </a:ext>
                <a:ext uri="{FF2B5EF4-FFF2-40B4-BE49-F238E27FC236}">
                  <a16:creationId xmlns:a16="http://schemas.microsoft.com/office/drawing/2014/main" id="{00000000-0008-0000-0100-00000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10</xdr:row>
          <xdr:rowOff>57150</xdr:rowOff>
        </xdr:from>
        <xdr:to>
          <xdr:col>4</xdr:col>
          <xdr:colOff>133350</xdr:colOff>
          <xdr:row>11</xdr:row>
          <xdr:rowOff>0</xdr:rowOff>
        </xdr:to>
        <xdr:sp macro="" textlink="">
          <xdr:nvSpPr>
            <xdr:cNvPr id="27656" name="Check Box 8" hidden="1">
              <a:extLst>
                <a:ext uri="{63B3BB69-23CF-44E3-9099-C40C66FF867C}">
                  <a14:compatExt spid="_x0000_s27656"/>
                </a:ext>
                <a:ext uri="{FF2B5EF4-FFF2-40B4-BE49-F238E27FC236}">
                  <a16:creationId xmlns:a16="http://schemas.microsoft.com/office/drawing/2014/main" id="{00000000-0008-0000-0100-00000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34</xdr:row>
          <xdr:rowOff>0</xdr:rowOff>
        </xdr:from>
        <xdr:to>
          <xdr:col>4</xdr:col>
          <xdr:colOff>123825</xdr:colOff>
          <xdr:row>34</xdr:row>
          <xdr:rowOff>219075</xdr:rowOff>
        </xdr:to>
        <xdr:sp macro="" textlink="">
          <xdr:nvSpPr>
            <xdr:cNvPr id="27657" name="Check Box 9" hidden="1">
              <a:extLst>
                <a:ext uri="{63B3BB69-23CF-44E3-9099-C40C66FF867C}">
                  <a14:compatExt spid="_x0000_s27657"/>
                </a:ext>
                <a:ext uri="{FF2B5EF4-FFF2-40B4-BE49-F238E27FC236}">
                  <a16:creationId xmlns:a16="http://schemas.microsoft.com/office/drawing/2014/main" id="{00000000-0008-0000-0100-00000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34</xdr:row>
          <xdr:rowOff>0</xdr:rowOff>
        </xdr:from>
        <xdr:to>
          <xdr:col>4</xdr:col>
          <xdr:colOff>123825</xdr:colOff>
          <xdr:row>34</xdr:row>
          <xdr:rowOff>219075</xdr:rowOff>
        </xdr:to>
        <xdr:sp macro="" textlink="">
          <xdr:nvSpPr>
            <xdr:cNvPr id="27658" name="Check Box 10" hidden="1">
              <a:extLst>
                <a:ext uri="{63B3BB69-23CF-44E3-9099-C40C66FF867C}">
                  <a14:compatExt spid="_x0000_s27658"/>
                </a:ext>
                <a:ext uri="{FF2B5EF4-FFF2-40B4-BE49-F238E27FC236}">
                  <a16:creationId xmlns:a16="http://schemas.microsoft.com/office/drawing/2014/main" id="{00000000-0008-0000-01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13</xdr:row>
          <xdr:rowOff>85725</xdr:rowOff>
        </xdr:from>
        <xdr:to>
          <xdr:col>4</xdr:col>
          <xdr:colOff>114300</xdr:colOff>
          <xdr:row>14</xdr:row>
          <xdr:rowOff>28575</xdr:rowOff>
        </xdr:to>
        <xdr:sp macro="" textlink="">
          <xdr:nvSpPr>
            <xdr:cNvPr id="27659" name="Check Box 11" hidden="1">
              <a:extLst>
                <a:ext uri="{63B3BB69-23CF-44E3-9099-C40C66FF867C}">
                  <a14:compatExt spid="_x0000_s27659"/>
                </a:ext>
                <a:ext uri="{FF2B5EF4-FFF2-40B4-BE49-F238E27FC236}">
                  <a16:creationId xmlns:a16="http://schemas.microsoft.com/office/drawing/2014/main" id="{00000000-0008-0000-01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5</xdr:row>
          <xdr:rowOff>142875</xdr:rowOff>
        </xdr:from>
        <xdr:to>
          <xdr:col>6</xdr:col>
          <xdr:colOff>123825</xdr:colOff>
          <xdr:row>6</xdr:row>
          <xdr:rowOff>19050</xdr:rowOff>
        </xdr:to>
        <xdr:sp macro="" textlink="">
          <xdr:nvSpPr>
            <xdr:cNvPr id="27660" name="Check Box 12" hidden="1">
              <a:extLst>
                <a:ext uri="{63B3BB69-23CF-44E3-9099-C40C66FF867C}">
                  <a14:compatExt spid="_x0000_s27660"/>
                </a:ext>
                <a:ext uri="{FF2B5EF4-FFF2-40B4-BE49-F238E27FC236}">
                  <a16:creationId xmlns:a16="http://schemas.microsoft.com/office/drawing/2014/main" id="{00000000-0008-0000-01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30</xdr:row>
          <xdr:rowOff>47625</xdr:rowOff>
        </xdr:from>
        <xdr:to>
          <xdr:col>4</xdr:col>
          <xdr:colOff>123825</xdr:colOff>
          <xdr:row>31</xdr:row>
          <xdr:rowOff>9525</xdr:rowOff>
        </xdr:to>
        <xdr:sp macro="" textlink="">
          <xdr:nvSpPr>
            <xdr:cNvPr id="27661" name="Check Box 13" hidden="1">
              <a:extLst>
                <a:ext uri="{63B3BB69-23CF-44E3-9099-C40C66FF867C}">
                  <a14:compatExt spid="_x0000_s27661"/>
                </a:ext>
                <a:ext uri="{FF2B5EF4-FFF2-40B4-BE49-F238E27FC236}">
                  <a16:creationId xmlns:a16="http://schemas.microsoft.com/office/drawing/2014/main" id="{00000000-0008-0000-0100-00000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32</xdr:row>
          <xdr:rowOff>47625</xdr:rowOff>
        </xdr:from>
        <xdr:to>
          <xdr:col>4</xdr:col>
          <xdr:colOff>123825</xdr:colOff>
          <xdr:row>33</xdr:row>
          <xdr:rowOff>9525</xdr:rowOff>
        </xdr:to>
        <xdr:sp macro="" textlink="">
          <xdr:nvSpPr>
            <xdr:cNvPr id="27662" name="Check Box 14" hidden="1">
              <a:extLst>
                <a:ext uri="{63B3BB69-23CF-44E3-9099-C40C66FF867C}">
                  <a14:compatExt spid="_x0000_s27662"/>
                </a:ext>
                <a:ext uri="{FF2B5EF4-FFF2-40B4-BE49-F238E27FC236}">
                  <a16:creationId xmlns:a16="http://schemas.microsoft.com/office/drawing/2014/main" id="{00000000-0008-0000-0100-00000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5</xdr:row>
          <xdr:rowOff>152400</xdr:rowOff>
        </xdr:from>
        <xdr:to>
          <xdr:col>9</xdr:col>
          <xdr:colOff>76200</xdr:colOff>
          <xdr:row>6</xdr:row>
          <xdr:rowOff>38100</xdr:rowOff>
        </xdr:to>
        <xdr:sp macro="" textlink="">
          <xdr:nvSpPr>
            <xdr:cNvPr id="27663" name="Check Box 15" hidden="1">
              <a:extLst>
                <a:ext uri="{63B3BB69-23CF-44E3-9099-C40C66FF867C}">
                  <a14:compatExt spid="_x0000_s27663"/>
                </a:ext>
                <a:ext uri="{FF2B5EF4-FFF2-40B4-BE49-F238E27FC236}">
                  <a16:creationId xmlns:a16="http://schemas.microsoft.com/office/drawing/2014/main" id="{00000000-0008-0000-0100-00000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34</xdr:row>
          <xdr:rowOff>0</xdr:rowOff>
        </xdr:from>
        <xdr:to>
          <xdr:col>4</xdr:col>
          <xdr:colOff>123825</xdr:colOff>
          <xdr:row>34</xdr:row>
          <xdr:rowOff>219075</xdr:rowOff>
        </xdr:to>
        <xdr:sp macro="" textlink="">
          <xdr:nvSpPr>
            <xdr:cNvPr id="27664" name="Check Box 16" hidden="1">
              <a:extLst>
                <a:ext uri="{63B3BB69-23CF-44E3-9099-C40C66FF867C}">
                  <a14:compatExt spid="_x0000_s27664"/>
                </a:ext>
                <a:ext uri="{FF2B5EF4-FFF2-40B4-BE49-F238E27FC236}">
                  <a16:creationId xmlns:a16="http://schemas.microsoft.com/office/drawing/2014/main" id="{00000000-0008-0000-0100-00001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14</xdr:row>
          <xdr:rowOff>85725</xdr:rowOff>
        </xdr:from>
        <xdr:to>
          <xdr:col>7</xdr:col>
          <xdr:colOff>123825</xdr:colOff>
          <xdr:row>15</xdr:row>
          <xdr:rowOff>28575</xdr:rowOff>
        </xdr:to>
        <xdr:sp macro="" textlink="">
          <xdr:nvSpPr>
            <xdr:cNvPr id="27665" name="Check Box 17" hidden="1">
              <a:extLst>
                <a:ext uri="{63B3BB69-23CF-44E3-9099-C40C66FF867C}">
                  <a14:compatExt spid="_x0000_s27665"/>
                </a:ext>
                <a:ext uri="{FF2B5EF4-FFF2-40B4-BE49-F238E27FC236}">
                  <a16:creationId xmlns:a16="http://schemas.microsoft.com/office/drawing/2014/main" id="{00000000-0008-0000-0100-00001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14</xdr:row>
          <xdr:rowOff>85725</xdr:rowOff>
        </xdr:from>
        <xdr:to>
          <xdr:col>11</xdr:col>
          <xdr:colOff>123825</xdr:colOff>
          <xdr:row>15</xdr:row>
          <xdr:rowOff>28575</xdr:rowOff>
        </xdr:to>
        <xdr:sp macro="" textlink="">
          <xdr:nvSpPr>
            <xdr:cNvPr id="27666" name="Check Box 18" hidden="1">
              <a:extLst>
                <a:ext uri="{63B3BB69-23CF-44E3-9099-C40C66FF867C}">
                  <a14:compatExt spid="_x0000_s27666"/>
                </a:ext>
                <a:ext uri="{FF2B5EF4-FFF2-40B4-BE49-F238E27FC236}">
                  <a16:creationId xmlns:a16="http://schemas.microsoft.com/office/drawing/2014/main" id="{00000000-0008-0000-0100-00001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12</xdr:row>
          <xdr:rowOff>76200</xdr:rowOff>
        </xdr:from>
        <xdr:to>
          <xdr:col>2</xdr:col>
          <xdr:colOff>123825</xdr:colOff>
          <xdr:row>13</xdr:row>
          <xdr:rowOff>19050</xdr:rowOff>
        </xdr:to>
        <xdr:sp macro="" textlink="">
          <xdr:nvSpPr>
            <xdr:cNvPr id="27667" name="Check Box 19" hidden="1">
              <a:extLst>
                <a:ext uri="{63B3BB69-23CF-44E3-9099-C40C66FF867C}">
                  <a14:compatExt spid="_x0000_s27667"/>
                </a:ext>
                <a:ext uri="{FF2B5EF4-FFF2-40B4-BE49-F238E27FC236}">
                  <a16:creationId xmlns:a16="http://schemas.microsoft.com/office/drawing/2014/main" id="{00000000-0008-0000-0100-00001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12</xdr:row>
          <xdr:rowOff>76200</xdr:rowOff>
        </xdr:from>
        <xdr:to>
          <xdr:col>9</xdr:col>
          <xdr:colOff>85725</xdr:colOff>
          <xdr:row>13</xdr:row>
          <xdr:rowOff>19050</xdr:rowOff>
        </xdr:to>
        <xdr:sp macro="" textlink="">
          <xdr:nvSpPr>
            <xdr:cNvPr id="27668" name="Check Box 20" hidden="1">
              <a:extLst>
                <a:ext uri="{63B3BB69-23CF-44E3-9099-C40C66FF867C}">
                  <a14:compatExt spid="_x0000_s27668"/>
                </a:ext>
                <a:ext uri="{FF2B5EF4-FFF2-40B4-BE49-F238E27FC236}">
                  <a16:creationId xmlns:a16="http://schemas.microsoft.com/office/drawing/2014/main" id="{00000000-0008-0000-0100-00001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29</xdr:row>
          <xdr:rowOff>19050</xdr:rowOff>
        </xdr:from>
        <xdr:to>
          <xdr:col>4</xdr:col>
          <xdr:colOff>85725</xdr:colOff>
          <xdr:row>30</xdr:row>
          <xdr:rowOff>9525</xdr:rowOff>
        </xdr:to>
        <xdr:sp macro="" textlink="">
          <xdr:nvSpPr>
            <xdr:cNvPr id="27669" name="Check Box 21" hidden="1">
              <a:extLst>
                <a:ext uri="{63B3BB69-23CF-44E3-9099-C40C66FF867C}">
                  <a14:compatExt spid="_x0000_s27669"/>
                </a:ext>
                <a:ext uri="{FF2B5EF4-FFF2-40B4-BE49-F238E27FC236}">
                  <a16:creationId xmlns:a16="http://schemas.microsoft.com/office/drawing/2014/main" id="{00000000-0008-0000-0100-00001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29</xdr:row>
          <xdr:rowOff>57150</xdr:rowOff>
        </xdr:from>
        <xdr:to>
          <xdr:col>7</xdr:col>
          <xdr:colOff>333375</xdr:colOff>
          <xdr:row>30</xdr:row>
          <xdr:rowOff>9525</xdr:rowOff>
        </xdr:to>
        <xdr:sp macro="" textlink="">
          <xdr:nvSpPr>
            <xdr:cNvPr id="27670" name="Check Box 22" hidden="1">
              <a:extLst>
                <a:ext uri="{63B3BB69-23CF-44E3-9099-C40C66FF867C}">
                  <a14:compatExt spid="_x0000_s27670"/>
                </a:ext>
                <a:ext uri="{FF2B5EF4-FFF2-40B4-BE49-F238E27FC236}">
                  <a16:creationId xmlns:a16="http://schemas.microsoft.com/office/drawing/2014/main" id="{00000000-0008-0000-0100-00001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29</xdr:row>
          <xdr:rowOff>47625</xdr:rowOff>
        </xdr:from>
        <xdr:to>
          <xdr:col>11</xdr:col>
          <xdr:colOff>114300</xdr:colOff>
          <xdr:row>30</xdr:row>
          <xdr:rowOff>0</xdr:rowOff>
        </xdr:to>
        <xdr:sp macro="" textlink="">
          <xdr:nvSpPr>
            <xdr:cNvPr id="27671" name="Check Box 23" hidden="1">
              <a:extLst>
                <a:ext uri="{63B3BB69-23CF-44E3-9099-C40C66FF867C}">
                  <a14:compatExt spid="_x0000_s27671"/>
                </a:ext>
                <a:ext uri="{FF2B5EF4-FFF2-40B4-BE49-F238E27FC236}">
                  <a16:creationId xmlns:a16="http://schemas.microsoft.com/office/drawing/2014/main" id="{00000000-0008-0000-0100-00001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8</xdr:row>
          <xdr:rowOff>57150</xdr:rowOff>
        </xdr:from>
        <xdr:to>
          <xdr:col>3</xdr:col>
          <xdr:colOff>200025</xdr:colOff>
          <xdr:row>9</xdr:row>
          <xdr:rowOff>0</xdr:rowOff>
        </xdr:to>
        <xdr:sp macro="" textlink="">
          <xdr:nvSpPr>
            <xdr:cNvPr id="27672" name="Check Box 24" hidden="1">
              <a:extLst>
                <a:ext uri="{63B3BB69-23CF-44E3-9099-C40C66FF867C}">
                  <a14:compatExt spid="_x0000_s27672"/>
                </a:ext>
                <a:ext uri="{FF2B5EF4-FFF2-40B4-BE49-F238E27FC236}">
                  <a16:creationId xmlns:a16="http://schemas.microsoft.com/office/drawing/2014/main" id="{00000000-0008-0000-0100-00001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11</xdr:row>
          <xdr:rowOff>57150</xdr:rowOff>
        </xdr:from>
        <xdr:to>
          <xdr:col>4</xdr:col>
          <xdr:colOff>133350</xdr:colOff>
          <xdr:row>12</xdr:row>
          <xdr:rowOff>0</xdr:rowOff>
        </xdr:to>
        <xdr:sp macro="" textlink="">
          <xdr:nvSpPr>
            <xdr:cNvPr id="27674" name="Check Box 26" hidden="1">
              <a:extLst>
                <a:ext uri="{63B3BB69-23CF-44E3-9099-C40C66FF867C}">
                  <a14:compatExt spid="_x0000_s27674"/>
                </a:ext>
                <a:ext uri="{FF2B5EF4-FFF2-40B4-BE49-F238E27FC236}">
                  <a16:creationId xmlns:a16="http://schemas.microsoft.com/office/drawing/2014/main" id="{00000000-0008-0000-0100-00001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5</xdr:row>
          <xdr:rowOff>142875</xdr:rowOff>
        </xdr:from>
        <xdr:to>
          <xdr:col>1</xdr:col>
          <xdr:colOff>304800</xdr:colOff>
          <xdr:row>6</xdr:row>
          <xdr:rowOff>19050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66675</xdr:rowOff>
        </xdr:from>
        <xdr:to>
          <xdr:col>1</xdr:col>
          <xdr:colOff>304800</xdr:colOff>
          <xdr:row>32</xdr:row>
          <xdr:rowOff>19050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142875</xdr:rowOff>
        </xdr:from>
        <xdr:to>
          <xdr:col>1</xdr:col>
          <xdr:colOff>304800</xdr:colOff>
          <xdr:row>31</xdr:row>
          <xdr:rowOff>28575</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57150</xdr:rowOff>
        </xdr:from>
        <xdr:to>
          <xdr:col>1</xdr:col>
          <xdr:colOff>304800</xdr:colOff>
          <xdr:row>33</xdr:row>
          <xdr:rowOff>9525</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76200</xdr:rowOff>
        </xdr:from>
        <xdr:to>
          <xdr:col>1</xdr:col>
          <xdr:colOff>304800</xdr:colOff>
          <xdr:row>40</xdr:row>
          <xdr:rowOff>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76200</xdr:rowOff>
        </xdr:from>
        <xdr:to>
          <xdr:col>1</xdr:col>
          <xdr:colOff>304800</xdr:colOff>
          <xdr:row>43</xdr:row>
          <xdr:rowOff>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37</xdr:row>
          <xdr:rowOff>0</xdr:rowOff>
        </xdr:from>
        <xdr:to>
          <xdr:col>4</xdr:col>
          <xdr:colOff>123825</xdr:colOff>
          <xdr:row>37</xdr:row>
          <xdr:rowOff>219075</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37</xdr:row>
          <xdr:rowOff>0</xdr:rowOff>
        </xdr:from>
        <xdr:to>
          <xdr:col>4</xdr:col>
          <xdr:colOff>123825</xdr:colOff>
          <xdr:row>37</xdr:row>
          <xdr:rowOff>219075</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2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5</xdr:row>
          <xdr:rowOff>142875</xdr:rowOff>
        </xdr:from>
        <xdr:to>
          <xdr:col>5</xdr:col>
          <xdr:colOff>123825</xdr:colOff>
          <xdr:row>6</xdr:row>
          <xdr:rowOff>19050</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2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33</xdr:row>
          <xdr:rowOff>47625</xdr:rowOff>
        </xdr:from>
        <xdr:to>
          <xdr:col>4</xdr:col>
          <xdr:colOff>123825</xdr:colOff>
          <xdr:row>34</xdr:row>
          <xdr:rowOff>9525</xdr:rowOff>
        </xdr:to>
        <xdr:sp macro="" textlink="">
          <xdr:nvSpPr>
            <xdr:cNvPr id="8202" name="Check Box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35</xdr:row>
          <xdr:rowOff>47625</xdr:rowOff>
        </xdr:from>
        <xdr:to>
          <xdr:col>4</xdr:col>
          <xdr:colOff>123825</xdr:colOff>
          <xdr:row>36</xdr:row>
          <xdr:rowOff>9525</xdr:rowOff>
        </xdr:to>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02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5</xdr:row>
          <xdr:rowOff>152400</xdr:rowOff>
        </xdr:from>
        <xdr:to>
          <xdr:col>9</xdr:col>
          <xdr:colOff>19050</xdr:colOff>
          <xdr:row>6</xdr:row>
          <xdr:rowOff>38100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2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37</xdr:row>
          <xdr:rowOff>0</xdr:rowOff>
        </xdr:from>
        <xdr:to>
          <xdr:col>4</xdr:col>
          <xdr:colOff>123825</xdr:colOff>
          <xdr:row>37</xdr:row>
          <xdr:rowOff>219075</xdr:rowOff>
        </xdr:to>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19</xdr:row>
          <xdr:rowOff>76200</xdr:rowOff>
        </xdr:from>
        <xdr:to>
          <xdr:col>2</xdr:col>
          <xdr:colOff>123825</xdr:colOff>
          <xdr:row>20</xdr:row>
          <xdr:rowOff>19050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19</xdr:row>
          <xdr:rowOff>76200</xdr:rowOff>
        </xdr:from>
        <xdr:to>
          <xdr:col>9</xdr:col>
          <xdr:colOff>28575</xdr:colOff>
          <xdr:row>20</xdr:row>
          <xdr:rowOff>19050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32</xdr:row>
          <xdr:rowOff>19050</xdr:rowOff>
        </xdr:from>
        <xdr:to>
          <xdr:col>4</xdr:col>
          <xdr:colOff>85725</xdr:colOff>
          <xdr:row>33</xdr:row>
          <xdr:rowOff>9525</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2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32</xdr:row>
          <xdr:rowOff>57150</xdr:rowOff>
        </xdr:from>
        <xdr:to>
          <xdr:col>7</xdr:col>
          <xdr:colOff>333375</xdr:colOff>
          <xdr:row>33</xdr:row>
          <xdr:rowOff>9525</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2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32</xdr:row>
          <xdr:rowOff>47625</xdr:rowOff>
        </xdr:from>
        <xdr:to>
          <xdr:col>11</xdr:col>
          <xdr:colOff>114300</xdr:colOff>
          <xdr:row>33</xdr:row>
          <xdr:rowOff>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xdr:row>
          <xdr:rowOff>66675</xdr:rowOff>
        </xdr:from>
        <xdr:to>
          <xdr:col>3</xdr:col>
          <xdr:colOff>219075</xdr:colOff>
          <xdr:row>9</xdr:row>
          <xdr:rowOff>9525</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12</xdr:row>
          <xdr:rowOff>66675</xdr:rowOff>
        </xdr:from>
        <xdr:to>
          <xdr:col>7</xdr:col>
          <xdr:colOff>571500</xdr:colOff>
          <xdr:row>13</xdr:row>
          <xdr:rowOff>9525</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2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12</xdr:row>
          <xdr:rowOff>66675</xdr:rowOff>
        </xdr:from>
        <xdr:to>
          <xdr:col>9</xdr:col>
          <xdr:colOff>590550</xdr:colOff>
          <xdr:row>13</xdr:row>
          <xdr:rowOff>9525</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200-00001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349250</xdr:colOff>
      <xdr:row>52</xdr:row>
      <xdr:rowOff>349250</xdr:rowOff>
    </xdr:from>
    <xdr:to>
      <xdr:col>14</xdr:col>
      <xdr:colOff>497417</xdr:colOff>
      <xdr:row>52</xdr:row>
      <xdr:rowOff>349251</xdr:rowOff>
    </xdr:to>
    <xdr:cxnSp macro="">
      <xdr:nvCxnSpPr>
        <xdr:cNvPr id="2" name="Straight Connector 1">
          <a:extLst>
            <a:ext uri="{FF2B5EF4-FFF2-40B4-BE49-F238E27FC236}">
              <a16:creationId xmlns:a16="http://schemas.microsoft.com/office/drawing/2014/main" id="{5A0880D9-507E-44AB-9AA4-D909002FD5A8}"/>
            </a:ext>
          </a:extLst>
        </xdr:cNvPr>
        <xdr:cNvCxnSpPr/>
      </xdr:nvCxnSpPr>
      <xdr:spPr>
        <a:xfrm>
          <a:off x="7159625" y="13246100"/>
          <a:ext cx="1976967" cy="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349250</xdr:colOff>
      <xdr:row>52</xdr:row>
      <xdr:rowOff>349250</xdr:rowOff>
    </xdr:from>
    <xdr:to>
      <xdr:col>14</xdr:col>
      <xdr:colOff>497417</xdr:colOff>
      <xdr:row>52</xdr:row>
      <xdr:rowOff>349251</xdr:rowOff>
    </xdr:to>
    <xdr:cxnSp macro="">
      <xdr:nvCxnSpPr>
        <xdr:cNvPr id="3" name="Straight Connector 2">
          <a:extLst>
            <a:ext uri="{FF2B5EF4-FFF2-40B4-BE49-F238E27FC236}">
              <a16:creationId xmlns:a16="http://schemas.microsoft.com/office/drawing/2014/main" id="{AC86546D-24B7-4FAE-9F08-A315DAF28AD4}"/>
            </a:ext>
          </a:extLst>
        </xdr:cNvPr>
        <xdr:cNvCxnSpPr/>
      </xdr:nvCxnSpPr>
      <xdr:spPr>
        <a:xfrm>
          <a:off x="7159625" y="13246100"/>
          <a:ext cx="1976967" cy="1"/>
        </a:xfrm>
        <a:prstGeom prst="line">
          <a:avLst/>
        </a:prstGeom>
        <a:noFill/>
        <a:ln w="12700" cap="flat" cmpd="sng" algn="ctr">
          <a:solidFill>
            <a:sysClr val="windowText" lastClr="000000"/>
          </a:solidFill>
          <a:prstDash val="solid"/>
          <a:miter lim="800000"/>
        </a:ln>
        <a:effectLst/>
      </xdr:spPr>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xdr:colOff>
      <xdr:row>11</xdr:row>
      <xdr:rowOff>104775</xdr:rowOff>
    </xdr:from>
    <xdr:to>
      <xdr:col>12</xdr:col>
      <xdr:colOff>371475</xdr:colOff>
      <xdr:row>11</xdr:row>
      <xdr:rowOff>1276350</xdr:rowOff>
    </xdr:to>
    <xdr:pic>
      <xdr:nvPicPr>
        <xdr:cNvPr id="3" name="Picture 5" descr="A table with numbers and letters&#10;&#10;AI-generated content may be incorrect.">
          <a:extLst>
            <a:ext uri="{FF2B5EF4-FFF2-40B4-BE49-F238E27FC236}">
              <a16:creationId xmlns:a16="http://schemas.microsoft.com/office/drawing/2014/main" id="{ED389DCF-73BB-6F89-B7E6-87D364D35C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5400" y="2305050"/>
          <a:ext cx="6391275"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228600</xdr:colOff>
      <xdr:row>15</xdr:row>
      <xdr:rowOff>0</xdr:rowOff>
    </xdr:from>
    <xdr:to>
      <xdr:col>2</xdr:col>
      <xdr:colOff>533286</xdr:colOff>
      <xdr:row>15</xdr:row>
      <xdr:rowOff>676190</xdr:rowOff>
    </xdr:to>
    <xdr:pic>
      <xdr:nvPicPr>
        <xdr:cNvPr id="7" name="Picture 6" descr="A screen shot of a computer&#10;&#10;AI-generated content may be incorrect.">
          <a:extLst>
            <a:ext uri="{FF2B5EF4-FFF2-40B4-BE49-F238E27FC236}">
              <a16:creationId xmlns:a16="http://schemas.microsoft.com/office/drawing/2014/main" id="{5131F4C4-8363-4BA7-23B0-92B7B41013D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38200" y="4162425"/>
          <a:ext cx="914286" cy="676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219075</xdr:colOff>
      <xdr:row>17</xdr:row>
      <xdr:rowOff>0</xdr:rowOff>
    </xdr:from>
    <xdr:to>
      <xdr:col>2</xdr:col>
      <xdr:colOff>537192</xdr:colOff>
      <xdr:row>17</xdr:row>
      <xdr:rowOff>838200</xdr:rowOff>
    </xdr:to>
    <xdr:pic>
      <xdr:nvPicPr>
        <xdr:cNvPr id="8" name="Picture 7" descr="A screenshot of a computer&#10;&#10;AI-generated content may be incorrect.">
          <a:extLst>
            <a:ext uri="{FF2B5EF4-FFF2-40B4-BE49-F238E27FC236}">
              <a16:creationId xmlns:a16="http://schemas.microsoft.com/office/drawing/2014/main" id="{083730DD-20CB-EB27-78D6-F120766CCA2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828675" y="5095875"/>
          <a:ext cx="927717" cy="838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95250</xdr:colOff>
      <xdr:row>29</xdr:row>
      <xdr:rowOff>76200</xdr:rowOff>
    </xdr:from>
    <xdr:to>
      <xdr:col>5</xdr:col>
      <xdr:colOff>38100</xdr:colOff>
      <xdr:row>29</xdr:row>
      <xdr:rowOff>990600</xdr:rowOff>
    </xdr:to>
    <xdr:pic>
      <xdr:nvPicPr>
        <xdr:cNvPr id="9" name="Picture 8" descr="A screen shot of a black and red box&#10;&#10;AI-generated content may be incorrect.">
          <a:extLst>
            <a:ext uri="{FF2B5EF4-FFF2-40B4-BE49-F238E27FC236}">
              <a16:creationId xmlns:a16="http://schemas.microsoft.com/office/drawing/2014/main" id="{CA9B1F83-394A-DA20-2E7D-3F22DC588DA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14450" y="8267700"/>
          <a:ext cx="177165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104775</xdr:colOff>
      <xdr:row>32</xdr:row>
      <xdr:rowOff>85725</xdr:rowOff>
    </xdr:from>
    <xdr:to>
      <xdr:col>6</xdr:col>
      <xdr:colOff>276192</xdr:colOff>
      <xdr:row>32</xdr:row>
      <xdr:rowOff>1962150</xdr:rowOff>
    </xdr:to>
    <xdr:pic>
      <xdr:nvPicPr>
        <xdr:cNvPr id="10" name="Picture 9">
          <a:extLst>
            <a:ext uri="{FF2B5EF4-FFF2-40B4-BE49-F238E27FC236}">
              <a16:creationId xmlns:a16="http://schemas.microsoft.com/office/drawing/2014/main" id="{E62D95CB-6338-9D2F-54D8-3A7F76AA0194}"/>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1323975" y="9677400"/>
          <a:ext cx="260981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104775</xdr:colOff>
      <xdr:row>35</xdr:row>
      <xdr:rowOff>104775</xdr:rowOff>
    </xdr:from>
    <xdr:to>
      <xdr:col>13</xdr:col>
      <xdr:colOff>133350</xdr:colOff>
      <xdr:row>35</xdr:row>
      <xdr:rowOff>933450</xdr:rowOff>
    </xdr:to>
    <xdr:pic>
      <xdr:nvPicPr>
        <xdr:cNvPr id="11" name="Picture 10">
          <a:extLst>
            <a:ext uri="{FF2B5EF4-FFF2-40B4-BE49-F238E27FC236}">
              <a16:creationId xmlns:a16="http://schemas.microsoft.com/office/drawing/2014/main" id="{D290340B-96CA-79E1-6566-07C34B824A7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23975" y="12239625"/>
          <a:ext cx="6734175"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114300</xdr:colOff>
      <xdr:row>41</xdr:row>
      <xdr:rowOff>85725</xdr:rowOff>
    </xdr:from>
    <xdr:to>
      <xdr:col>6</xdr:col>
      <xdr:colOff>504825</xdr:colOff>
      <xdr:row>41</xdr:row>
      <xdr:rowOff>809625</xdr:rowOff>
    </xdr:to>
    <xdr:pic>
      <xdr:nvPicPr>
        <xdr:cNvPr id="12" name="Picture 11" descr="A close-up of a sign&#10;&#10;AI-generated content may be incorrect.">
          <a:extLst>
            <a:ext uri="{FF2B5EF4-FFF2-40B4-BE49-F238E27FC236}">
              <a16:creationId xmlns:a16="http://schemas.microsoft.com/office/drawing/2014/main" id="{DB00A71D-623D-9C8D-F593-8FEC9722597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0" y="14249400"/>
          <a:ext cx="2828925"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85725</xdr:colOff>
      <xdr:row>44</xdr:row>
      <xdr:rowOff>95250</xdr:rowOff>
    </xdr:from>
    <xdr:to>
      <xdr:col>5</xdr:col>
      <xdr:colOff>371475</xdr:colOff>
      <xdr:row>44</xdr:row>
      <xdr:rowOff>3038475</xdr:rowOff>
    </xdr:to>
    <xdr:pic>
      <xdr:nvPicPr>
        <xdr:cNvPr id="13" name="Picture 12" descr="A screenshot of a computer&#10;&#10;AI-generated content may be incorrect.">
          <a:extLst>
            <a:ext uri="{FF2B5EF4-FFF2-40B4-BE49-F238E27FC236}">
              <a16:creationId xmlns:a16="http://schemas.microsoft.com/office/drawing/2014/main" id="{A3FF4AC2-E09D-7D83-B574-75C555057B7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04925" y="15544800"/>
          <a:ext cx="2114550" cy="2943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66675</xdr:colOff>
      <xdr:row>48</xdr:row>
      <xdr:rowOff>85725</xdr:rowOff>
    </xdr:from>
    <xdr:to>
      <xdr:col>13</xdr:col>
      <xdr:colOff>161925</xdr:colOff>
      <xdr:row>48</xdr:row>
      <xdr:rowOff>1047750</xdr:rowOff>
    </xdr:to>
    <xdr:pic>
      <xdr:nvPicPr>
        <xdr:cNvPr id="14" name="Picture 1" descr="A screenshot of a calendar&#10;&#10;AI-generated content may be incorrect.">
          <a:extLst>
            <a:ext uri="{FF2B5EF4-FFF2-40B4-BE49-F238E27FC236}">
              <a16:creationId xmlns:a16="http://schemas.microsoft.com/office/drawing/2014/main" id="{CD077890-2A43-CA85-83B1-D8ECED9CC2F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285875" y="19240500"/>
          <a:ext cx="6800850" cy="962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57679</xdr:colOff>
      <xdr:row>0</xdr:row>
      <xdr:rowOff>47625</xdr:rowOff>
    </xdr:from>
    <xdr:ext cx="1933575" cy="718530"/>
    <xdr:sp macro="" textlink="">
      <xdr:nvSpPr>
        <xdr:cNvPr id="2" name="TextBox 1">
          <a:extLst>
            <a:ext uri="{FF2B5EF4-FFF2-40B4-BE49-F238E27FC236}">
              <a16:creationId xmlns:a16="http://schemas.microsoft.com/office/drawing/2014/main" id="{3971A3C4-ECED-4C2D-AF2F-4DA9105C3864}"/>
            </a:ext>
          </a:extLst>
        </xdr:cNvPr>
        <xdr:cNvSpPr txBox="1"/>
      </xdr:nvSpPr>
      <xdr:spPr>
        <a:xfrm>
          <a:off x="57679" y="47625"/>
          <a:ext cx="1933575" cy="718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a:solidFill>
                <a:schemeClr val="accent1">
                  <a:lumMod val="75000"/>
                </a:schemeClr>
              </a:solidFill>
            </a:rPr>
            <a:t>PMA</a:t>
          </a:r>
          <a:r>
            <a:rPr lang="en-US" sz="2000" b="1" baseline="0">
              <a:solidFill>
                <a:schemeClr val="accent1">
                  <a:lumMod val="75000"/>
                </a:schemeClr>
              </a:solidFill>
            </a:rPr>
            <a:t> ESTIMATE TOOL</a:t>
          </a:r>
          <a:endParaRPr lang="en-US" sz="2000" b="1">
            <a:solidFill>
              <a:schemeClr val="accent1">
                <a:lumMod val="75000"/>
              </a:schemeClr>
            </a:solidFill>
          </a:endParaRP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57679</xdr:colOff>
      <xdr:row>0</xdr:row>
      <xdr:rowOff>47625</xdr:rowOff>
    </xdr:from>
    <xdr:ext cx="1933575" cy="718530"/>
    <xdr:sp macro="" textlink="">
      <xdr:nvSpPr>
        <xdr:cNvPr id="3" name="TextBox 2">
          <a:extLst>
            <a:ext uri="{FF2B5EF4-FFF2-40B4-BE49-F238E27FC236}">
              <a16:creationId xmlns:a16="http://schemas.microsoft.com/office/drawing/2014/main" id="{A95E9C60-DC2C-41F8-9997-0F4638029A9A}"/>
            </a:ext>
          </a:extLst>
        </xdr:cNvPr>
        <xdr:cNvSpPr txBox="1"/>
      </xdr:nvSpPr>
      <xdr:spPr>
        <a:xfrm>
          <a:off x="57679" y="47625"/>
          <a:ext cx="1933575" cy="718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b="1">
              <a:solidFill>
                <a:schemeClr val="accent1">
                  <a:lumMod val="75000"/>
                </a:schemeClr>
              </a:solidFill>
            </a:rPr>
            <a:t>PMA</a:t>
          </a:r>
          <a:r>
            <a:rPr lang="en-US" sz="2000" b="1" baseline="0">
              <a:solidFill>
                <a:schemeClr val="accent1">
                  <a:lumMod val="75000"/>
                </a:schemeClr>
              </a:solidFill>
            </a:rPr>
            <a:t> ESTIMATE TOOL</a:t>
          </a:r>
          <a:endParaRPr lang="en-US" sz="2000" b="1">
            <a:solidFill>
              <a:schemeClr val="accent1">
                <a:lumMod val="75000"/>
              </a:schemeClr>
            </a:solidFill>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5</xdr:col>
      <xdr:colOff>104775</xdr:colOff>
      <xdr:row>11</xdr:row>
      <xdr:rowOff>104775</xdr:rowOff>
    </xdr:from>
    <xdr:ext cx="7575985" cy="1219436"/>
    <xdr:sp macro="" textlink="">
      <xdr:nvSpPr>
        <xdr:cNvPr id="2" name="TextBox 1">
          <a:extLst>
            <a:ext uri="{FF2B5EF4-FFF2-40B4-BE49-F238E27FC236}">
              <a16:creationId xmlns:a16="http://schemas.microsoft.com/office/drawing/2014/main" id="{60F238DD-E1E7-4506-9B48-ABAF0AAB4F82}"/>
            </a:ext>
          </a:extLst>
        </xdr:cNvPr>
        <xdr:cNvSpPr txBox="1"/>
      </xdr:nvSpPr>
      <xdr:spPr>
        <a:xfrm>
          <a:off x="5191125" y="1885950"/>
          <a:ext cx="7575985" cy="1219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a:t>DO</a:t>
          </a:r>
          <a:r>
            <a:rPr lang="en-US" sz="3600" b="1" baseline="0"/>
            <a:t> NOT MODIFY</a:t>
          </a:r>
        </a:p>
        <a:p>
          <a:r>
            <a:rPr lang="en-US" sz="3600" b="1" baseline="0"/>
            <a:t>THIS IS DATA FOR DROP DOWN FIELDS</a:t>
          </a:r>
          <a:endParaRPr lang="en-US" sz="3600" b="1"/>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8</xdr:col>
      <xdr:colOff>323850</xdr:colOff>
      <xdr:row>7</xdr:row>
      <xdr:rowOff>142875</xdr:rowOff>
    </xdr:from>
    <xdr:ext cx="8094460" cy="468013"/>
    <xdr:sp macro="" textlink="">
      <xdr:nvSpPr>
        <xdr:cNvPr id="2" name="TextBox 1">
          <a:extLst>
            <a:ext uri="{FF2B5EF4-FFF2-40B4-BE49-F238E27FC236}">
              <a16:creationId xmlns:a16="http://schemas.microsoft.com/office/drawing/2014/main" id="{AE1D9534-A14D-4C77-AE31-3F37CA3A7EB9}"/>
            </a:ext>
          </a:extLst>
        </xdr:cNvPr>
        <xdr:cNvSpPr txBox="1"/>
      </xdr:nvSpPr>
      <xdr:spPr>
        <a:xfrm>
          <a:off x="6038850" y="1304925"/>
          <a:ext cx="809446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400" b="1" i="0" u="none" strike="noStrike">
              <a:solidFill>
                <a:schemeClr val="tx1"/>
              </a:solidFill>
              <a:effectLst/>
              <a:latin typeface="+mn-lt"/>
              <a:ea typeface="+mn-ea"/>
              <a:cs typeface="+mn-cs"/>
            </a:rPr>
            <a:t>THIS DATA IS USED FOR DROP DOWN FIELD  DO NOT MODIFY</a:t>
          </a:r>
          <a:r>
            <a:rPr lang="en-US" sz="2400"/>
            <a:t> </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2.vml"/><Relationship Id="rId21" Type="http://schemas.openxmlformats.org/officeDocument/2006/relationships/ctrlProp" Target="../ctrlProps/ctrlProp43.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3.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24" Type="http://schemas.openxmlformats.org/officeDocument/2006/relationships/ctrlProp" Target="../ctrlProps/ctrlProp46.xml"/><Relationship Id="rId5" Type="http://schemas.openxmlformats.org/officeDocument/2006/relationships/ctrlProp" Target="../ctrlProps/ctrlProp27.xml"/><Relationship Id="rId15" Type="http://schemas.openxmlformats.org/officeDocument/2006/relationships/ctrlProp" Target="../ctrlProps/ctrlProp37.xml"/><Relationship Id="rId23" Type="http://schemas.openxmlformats.org/officeDocument/2006/relationships/ctrlProp" Target="../ctrlProps/ctrlProp45.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 Id="rId22" Type="http://schemas.openxmlformats.org/officeDocument/2006/relationships/ctrlProp" Target="../ctrlProps/ctrlProp4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C0062-85C3-4610-A3CB-54C402257B2F}">
  <sheetPr codeName="Sheet13">
    <tabColor rgb="FFFFC000"/>
  </sheetPr>
  <dimension ref="A1:U56"/>
  <sheetViews>
    <sheetView showGridLines="0" workbookViewId="0"/>
  </sheetViews>
  <sheetFormatPr defaultColWidth="0" defaultRowHeight="12.75"/>
  <cols>
    <col min="1" max="21" width="9.140625" customWidth="1"/>
    <col min="22" max="16384" width="9.140625" hidden="1"/>
  </cols>
  <sheetData>
    <row r="1" spans="1:8" ht="12.75" customHeight="1">
      <c r="A1" s="468" t="s">
        <v>1767</v>
      </c>
    </row>
    <row r="2" spans="1:8" ht="15.75">
      <c r="A2" s="469" t="s">
        <v>1768</v>
      </c>
    </row>
    <row r="3" spans="1:8" ht="15.75">
      <c r="A3" s="470" t="s">
        <v>1769</v>
      </c>
    </row>
    <row r="4" spans="1:8" ht="15.75">
      <c r="A4" s="470" t="s">
        <v>1770</v>
      </c>
    </row>
    <row r="5" spans="1:8" ht="15.75">
      <c r="A5" s="470" t="s">
        <v>1771</v>
      </c>
    </row>
    <row r="6" spans="1:8" ht="15.75">
      <c r="A6" s="470" t="s">
        <v>1772</v>
      </c>
    </row>
    <row r="7" spans="1:8" ht="15.75">
      <c r="A7" s="470" t="s">
        <v>1773</v>
      </c>
    </row>
    <row r="8" spans="1:8" ht="15.75">
      <c r="A8" s="470" t="s">
        <v>1774</v>
      </c>
    </row>
    <row r="9" spans="1:8" ht="15.75">
      <c r="A9" s="470" t="s">
        <v>1775</v>
      </c>
    </row>
    <row r="11" spans="1:8" ht="15.75">
      <c r="A11" s="468" t="s">
        <v>1776</v>
      </c>
    </row>
    <row r="12" spans="1:8" ht="15.75">
      <c r="A12" s="469" t="s">
        <v>1777</v>
      </c>
    </row>
    <row r="13" spans="1:8" ht="15.75">
      <c r="A13" s="469" t="s">
        <v>1778</v>
      </c>
    </row>
    <row r="14" spans="1:8" ht="15.75">
      <c r="A14" s="469" t="s">
        <v>1779</v>
      </c>
    </row>
    <row r="15" spans="1:8" ht="15.75">
      <c r="A15" s="469" t="s">
        <v>1780</v>
      </c>
    </row>
    <row r="16" spans="1:8" ht="194.25" customHeight="1">
      <c r="A16" s="470" t="s">
        <v>1781</v>
      </c>
      <c r="C16" s="478"/>
      <c r="D16" s="478"/>
      <c r="E16" s="478"/>
      <c r="F16" s="478"/>
      <c r="G16" s="478"/>
      <c r="H16" s="478"/>
    </row>
    <row r="18" spans="1:18" ht="15.75">
      <c r="A18" s="469" t="s">
        <v>1782</v>
      </c>
    </row>
    <row r="19" spans="1:18" ht="15.75">
      <c r="A19" s="471" t="s">
        <v>1783</v>
      </c>
    </row>
    <row r="20" spans="1:18" ht="66.75" customHeight="1">
      <c r="A20" s="472" t="s">
        <v>1784</v>
      </c>
      <c r="C20" s="478"/>
      <c r="D20" s="478"/>
      <c r="E20" s="478"/>
      <c r="F20" s="478"/>
      <c r="G20" s="478"/>
      <c r="H20" s="478"/>
    </row>
    <row r="22" spans="1:18" ht="50.25" customHeight="1">
      <c r="A22" s="480" t="s">
        <v>1835</v>
      </c>
      <c r="B22" s="480"/>
      <c r="C22" s="480"/>
      <c r="D22" s="480"/>
      <c r="E22" s="480"/>
      <c r="F22" s="480"/>
      <c r="G22" s="480"/>
      <c r="H22" s="480"/>
      <c r="I22" s="480"/>
      <c r="J22" s="480"/>
      <c r="K22" s="480"/>
      <c r="L22" s="480"/>
      <c r="M22" s="480"/>
      <c r="N22" s="480"/>
      <c r="O22" s="480"/>
      <c r="P22" s="480"/>
      <c r="Q22" s="480"/>
      <c r="R22" s="480"/>
    </row>
    <row r="23" spans="1:18" ht="180" customHeight="1">
      <c r="A23" s="473" t="s">
        <v>1785</v>
      </c>
      <c r="C23" s="478"/>
      <c r="D23" s="478"/>
      <c r="E23" s="478"/>
      <c r="F23" s="478"/>
      <c r="G23" s="478"/>
      <c r="H23" s="478"/>
      <c r="I23" s="478"/>
      <c r="J23" s="478"/>
      <c r="K23" s="478"/>
    </row>
    <row r="25" spans="1:18" ht="31.5" customHeight="1">
      <c r="A25" s="479" t="s">
        <v>1834</v>
      </c>
      <c r="B25" s="479"/>
      <c r="C25" s="479"/>
      <c r="D25" s="479"/>
      <c r="E25" s="479"/>
      <c r="F25" s="479"/>
      <c r="G25" s="479"/>
      <c r="H25" s="479"/>
      <c r="I25" s="479"/>
      <c r="J25" s="479"/>
      <c r="K25" s="479"/>
      <c r="L25" s="479"/>
      <c r="M25" s="479"/>
      <c r="N25" s="479"/>
      <c r="O25" s="479"/>
      <c r="P25" s="479"/>
      <c r="Q25" s="479"/>
      <c r="R25" s="479"/>
    </row>
    <row r="26" spans="1:18" ht="15.75">
      <c r="A26" s="470" t="s">
        <v>1786</v>
      </c>
    </row>
    <row r="27" spans="1:18" ht="15.75">
      <c r="A27" s="469" t="s">
        <v>1787</v>
      </c>
    </row>
    <row r="28" spans="1:18" ht="45.75" customHeight="1">
      <c r="A28" s="470" t="s">
        <v>1781</v>
      </c>
      <c r="C28" s="478"/>
      <c r="D28" s="478"/>
      <c r="E28" s="478"/>
      <c r="F28" s="478"/>
      <c r="G28" s="478"/>
      <c r="H28" s="478"/>
      <c r="I28" s="478"/>
      <c r="J28" s="478"/>
      <c r="K28" s="478"/>
    </row>
    <row r="30" spans="1:18" ht="15.75">
      <c r="A30" s="469" t="s">
        <v>1788</v>
      </c>
    </row>
    <row r="31" spans="1:18" ht="33" customHeight="1">
      <c r="A31" s="479" t="s">
        <v>1836</v>
      </c>
      <c r="B31" s="479"/>
      <c r="C31" s="479"/>
      <c r="D31" s="479"/>
      <c r="E31" s="479"/>
      <c r="F31" s="479"/>
      <c r="G31" s="479"/>
      <c r="H31" s="479"/>
      <c r="I31" s="479"/>
      <c r="J31" s="479"/>
      <c r="K31" s="479"/>
      <c r="L31" s="479"/>
      <c r="M31" s="479"/>
      <c r="N31" s="479"/>
      <c r="O31" s="479"/>
      <c r="P31" s="479"/>
      <c r="Q31" s="479"/>
    </row>
    <row r="32" spans="1:18" ht="81.75" customHeight="1">
      <c r="A32" s="470" t="s">
        <v>1781</v>
      </c>
      <c r="C32" s="478"/>
      <c r="D32" s="478"/>
      <c r="E32" s="478"/>
      <c r="F32" s="478"/>
      <c r="G32" s="478"/>
      <c r="H32" s="478"/>
      <c r="I32" s="478"/>
      <c r="J32" s="478"/>
      <c r="K32" s="478"/>
      <c r="L32" s="478"/>
      <c r="M32" s="478"/>
      <c r="N32" s="478"/>
    </row>
    <row r="34" spans="1:18" ht="15.75">
      <c r="A34" s="469" t="s">
        <v>1789</v>
      </c>
    </row>
    <row r="35" spans="1:18" ht="81" customHeight="1">
      <c r="A35" s="470" t="s">
        <v>1781</v>
      </c>
      <c r="C35" s="478"/>
      <c r="D35" s="478"/>
      <c r="E35" s="478"/>
      <c r="F35" s="478"/>
      <c r="G35" s="478"/>
      <c r="H35" s="478"/>
      <c r="I35" s="478"/>
      <c r="J35" s="478"/>
      <c r="K35" s="478"/>
      <c r="L35" s="478"/>
      <c r="M35" s="478"/>
      <c r="N35" s="478"/>
    </row>
    <row r="37" spans="1:18" ht="31.5" customHeight="1">
      <c r="A37" s="479" t="s">
        <v>1841</v>
      </c>
      <c r="B37" s="479"/>
      <c r="C37" s="479"/>
      <c r="D37" s="479"/>
      <c r="E37" s="479"/>
      <c r="F37" s="479"/>
      <c r="G37" s="479"/>
      <c r="H37" s="479"/>
      <c r="I37" s="479"/>
      <c r="J37" s="479"/>
      <c r="K37" s="479"/>
      <c r="L37" s="479"/>
      <c r="M37" s="479"/>
      <c r="N37" s="479"/>
      <c r="O37" s="479"/>
      <c r="P37" s="479"/>
      <c r="Q37" s="479"/>
      <c r="R37" s="479"/>
    </row>
    <row r="38" spans="1:18" ht="81.75" customHeight="1">
      <c r="A38" s="470" t="s">
        <v>1781</v>
      </c>
      <c r="C38" s="478"/>
      <c r="D38" s="478"/>
      <c r="E38" s="478"/>
      <c r="F38" s="478"/>
      <c r="G38" s="478"/>
      <c r="H38" s="478"/>
      <c r="I38" s="478"/>
      <c r="J38" s="478"/>
      <c r="K38" s="478"/>
      <c r="L38" s="478"/>
      <c r="M38" s="478"/>
      <c r="N38" s="478"/>
    </row>
    <row r="40" spans="1:18" ht="15.75">
      <c r="A40" s="469" t="s">
        <v>1790</v>
      </c>
    </row>
    <row r="41" spans="1:18" ht="15.75">
      <c r="A41" s="470" t="s">
        <v>1791</v>
      </c>
    </row>
    <row r="42" spans="1:18" ht="15.75">
      <c r="A42" s="470" t="s">
        <v>1792</v>
      </c>
    </row>
    <row r="43" spans="1:18" ht="15.75">
      <c r="A43" s="470" t="s">
        <v>1838</v>
      </c>
    </row>
    <row r="44" spans="1:18" ht="15.75">
      <c r="A44" s="470" t="s">
        <v>1839</v>
      </c>
    </row>
    <row r="45" spans="1:18" ht="15.75">
      <c r="A45" s="470" t="s">
        <v>1793</v>
      </c>
    </row>
    <row r="46" spans="1:18" ht="15.75">
      <c r="A46" s="470" t="s">
        <v>1794</v>
      </c>
    </row>
    <row r="47" spans="1:18" ht="131.25" customHeight="1">
      <c r="A47" s="472" t="s">
        <v>1784</v>
      </c>
      <c r="C47" s="478"/>
      <c r="D47" s="478"/>
      <c r="E47" s="478"/>
      <c r="F47" s="478"/>
      <c r="G47" s="478"/>
      <c r="H47" s="478"/>
      <c r="I47" s="478"/>
      <c r="J47" s="478"/>
      <c r="K47" s="478"/>
      <c r="L47" s="478"/>
    </row>
    <row r="49" spans="1:13" ht="15.75">
      <c r="A49" s="469" t="s">
        <v>1795</v>
      </c>
    </row>
    <row r="50" spans="1:13" ht="15.75">
      <c r="A50" s="470" t="s">
        <v>1796</v>
      </c>
    </row>
    <row r="51" spans="1:13" ht="96" customHeight="1">
      <c r="A51" s="472" t="s">
        <v>1784</v>
      </c>
      <c r="C51" s="478"/>
      <c r="D51" s="478"/>
      <c r="E51" s="478"/>
      <c r="F51" s="478"/>
      <c r="G51" s="478"/>
      <c r="H51" s="478"/>
      <c r="I51" s="478"/>
      <c r="J51" s="478"/>
      <c r="K51" s="478"/>
      <c r="L51" s="478"/>
      <c r="M51" s="478"/>
    </row>
    <row r="53" spans="1:13" ht="15.75">
      <c r="A53" s="469" t="s">
        <v>1797</v>
      </c>
    </row>
    <row r="54" spans="1:13" ht="15.75">
      <c r="A54" s="470" t="s">
        <v>1798</v>
      </c>
    </row>
    <row r="55" spans="1:13" ht="15.75">
      <c r="A55" s="470" t="s">
        <v>1799</v>
      </c>
    </row>
    <row r="56" spans="1:13" ht="73.5" customHeight="1">
      <c r="A56" s="472" t="s">
        <v>1784</v>
      </c>
      <c r="C56" s="478"/>
      <c r="D56" s="478"/>
      <c r="E56" s="478"/>
      <c r="F56" s="478"/>
      <c r="G56" s="478"/>
      <c r="H56" s="478"/>
      <c r="I56" s="478"/>
      <c r="J56" s="478"/>
      <c r="K56" s="478"/>
      <c r="L56" s="478"/>
    </row>
  </sheetData>
  <sheetProtection algorithmName="SHA-512" hashValue="vDY2aPtA5cAgI1DkM5yjHc91WscneBwmpGPc1cdTt5zksqHTQ6ay52SU8XugfJwsIo0eAKuL7YRnpmi0wk05wQ==" saltValue="FOSK2wPcChYpjPwbkRFVsA==" spinCount="100000" sheet="1" objects="1" scenarios="1"/>
  <mergeCells count="14">
    <mergeCell ref="C16:H16"/>
    <mergeCell ref="C20:H20"/>
    <mergeCell ref="C23:K23"/>
    <mergeCell ref="C28:K28"/>
    <mergeCell ref="C56:L56"/>
    <mergeCell ref="A25:R25"/>
    <mergeCell ref="A22:R22"/>
    <mergeCell ref="C32:N32"/>
    <mergeCell ref="C35:N35"/>
    <mergeCell ref="C38:N38"/>
    <mergeCell ref="C47:L47"/>
    <mergeCell ref="C51:M51"/>
    <mergeCell ref="A31:Q31"/>
    <mergeCell ref="A37:R3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1013F-9CA8-4271-A27F-172233233A31}">
  <sheetPr codeName="Sheet14"/>
  <dimension ref="A1:P45"/>
  <sheetViews>
    <sheetView showGridLines="0" topLeftCell="B1" zoomScaleNormal="100" zoomScalePageLayoutView="74" workbookViewId="0">
      <selection activeCell="D7" sqref="D7:M7"/>
    </sheetView>
  </sheetViews>
  <sheetFormatPr defaultColWidth="8.7109375" defaultRowHeight="15"/>
  <cols>
    <col min="1" max="1" width="8.7109375" style="276" customWidth="1"/>
    <col min="2" max="2" width="7.28515625" style="276" customWidth="1"/>
    <col min="3" max="3" width="8.7109375" style="276" customWidth="1"/>
    <col min="4" max="8" width="7.28515625" style="276" customWidth="1"/>
    <col min="9" max="9" width="7.85546875" style="276" customWidth="1"/>
    <col min="10" max="10" width="8.140625" style="276" customWidth="1"/>
    <col min="11" max="13" width="7.28515625" style="276" customWidth="1"/>
    <col min="14" max="14" width="3.5703125" style="276" customWidth="1"/>
    <col min="15" max="15" width="9.28515625" style="276" customWidth="1"/>
    <col min="16" max="16" width="19.140625" style="276" bestFit="1" customWidth="1"/>
    <col min="17" max="17" width="8.7109375" style="276" customWidth="1"/>
    <col min="18" max="16384" width="8.7109375" style="276"/>
  </cols>
  <sheetData>
    <row r="1" spans="1:16">
      <c r="A1" s="273"/>
      <c r="B1" s="274"/>
      <c r="C1" s="274"/>
      <c r="D1" s="274"/>
      <c r="E1" s="274"/>
      <c r="F1" s="274"/>
      <c r="G1" s="274"/>
      <c r="H1" s="274"/>
      <c r="I1" s="274"/>
      <c r="J1" s="274"/>
      <c r="K1" s="274"/>
      <c r="L1" s="274"/>
      <c r="M1" s="274"/>
      <c r="N1" s="274"/>
      <c r="O1" s="275"/>
      <c r="P1" s="307" t="s">
        <v>1452</v>
      </c>
    </row>
    <row r="2" spans="1:16" ht="21" customHeight="1">
      <c r="A2" s="277"/>
      <c r="B2" s="494" t="s">
        <v>1445</v>
      </c>
      <c r="C2" s="494"/>
      <c r="D2" s="494"/>
      <c r="E2" s="494"/>
      <c r="F2" s="494"/>
      <c r="G2" s="494"/>
      <c r="H2" s="494"/>
      <c r="I2" s="494"/>
      <c r="J2" s="494"/>
      <c r="K2" s="494"/>
      <c r="L2" s="494"/>
      <c r="M2" s="494"/>
      <c r="O2" s="278"/>
      <c r="P2" s="309" t="s">
        <v>1453</v>
      </c>
    </row>
    <row r="3" spans="1:16" s="280" customFormat="1" ht="23.25" customHeight="1">
      <c r="A3" s="279"/>
      <c r="C3" s="281" t="s">
        <v>1399</v>
      </c>
      <c r="D3" s="490"/>
      <c r="E3" s="490"/>
      <c r="F3" s="490"/>
      <c r="G3" s="490"/>
      <c r="J3" s="281" t="s">
        <v>1400</v>
      </c>
      <c r="K3" s="496"/>
      <c r="L3" s="496"/>
      <c r="M3" s="496"/>
      <c r="N3" s="496"/>
      <c r="O3" s="283"/>
      <c r="P3" s="308" t="s">
        <v>1454</v>
      </c>
    </row>
    <row r="4" spans="1:16" s="280" customFormat="1" ht="23.25" customHeight="1">
      <c r="A4" s="279"/>
      <c r="C4" s="281" t="s">
        <v>1464</v>
      </c>
      <c r="D4" s="490"/>
      <c r="E4" s="490"/>
      <c r="F4" s="490"/>
      <c r="G4" s="490"/>
      <c r="J4" s="281"/>
      <c r="K4"/>
      <c r="L4" s="455"/>
      <c r="M4" s="455"/>
      <c r="N4" s="455"/>
      <c r="O4" s="283"/>
    </row>
    <row r="5" spans="1:16" s="280" customFormat="1" ht="18" customHeight="1">
      <c r="A5" s="279"/>
      <c r="C5" s="281" t="s">
        <v>1401</v>
      </c>
      <c r="D5" s="495"/>
      <c r="E5" s="495"/>
      <c r="F5" s="495"/>
      <c r="G5" s="495"/>
      <c r="J5" s="281" t="s">
        <v>1402</v>
      </c>
      <c r="K5" s="490"/>
      <c r="L5" s="490"/>
      <c r="M5" s="490"/>
      <c r="N5" s="490"/>
      <c r="O5" s="283"/>
    </row>
    <row r="6" spans="1:16" s="280" customFormat="1" ht="26.25" customHeight="1">
      <c r="A6" s="279"/>
      <c r="B6" s="281"/>
      <c r="C6" s="280" t="s">
        <v>1403</v>
      </c>
      <c r="G6" s="280" t="s">
        <v>1404</v>
      </c>
      <c r="J6" s="280" t="s">
        <v>1405</v>
      </c>
      <c r="O6" s="283"/>
    </row>
    <row r="7" spans="1:16" s="280" customFormat="1" ht="21" customHeight="1">
      <c r="A7" s="279"/>
      <c r="C7" s="281" t="s">
        <v>1406</v>
      </c>
      <c r="D7" s="488"/>
      <c r="E7" s="488"/>
      <c r="F7" s="488"/>
      <c r="G7" s="488"/>
      <c r="H7" s="488"/>
      <c r="I7" s="488"/>
      <c r="J7" s="488"/>
      <c r="K7" s="488"/>
      <c r="L7" s="488"/>
      <c r="M7" s="488"/>
      <c r="O7" s="283"/>
    </row>
    <row r="8" spans="1:16" s="280" customFormat="1" ht="21" customHeight="1">
      <c r="A8" s="279"/>
      <c r="B8" s="280" t="s">
        <v>1451</v>
      </c>
      <c r="C8" s="281"/>
      <c r="D8" s="286"/>
      <c r="E8" s="497"/>
      <c r="F8" s="497"/>
      <c r="G8" s="497"/>
      <c r="H8" s="497"/>
      <c r="I8" s="497"/>
      <c r="J8" s="497"/>
      <c r="K8" s="497"/>
      <c r="L8" s="497"/>
      <c r="M8" s="497"/>
      <c r="O8" s="283"/>
    </row>
    <row r="9" spans="1:16" s="280" customFormat="1" ht="21" customHeight="1">
      <c r="A9" s="279"/>
      <c r="B9" s="280" t="s">
        <v>1446</v>
      </c>
      <c r="C9" s="281"/>
      <c r="D9" s="286"/>
      <c r="E9" s="286"/>
      <c r="F9" s="286"/>
      <c r="G9" s="286"/>
      <c r="H9" s="286"/>
      <c r="I9" s="498" t="s">
        <v>1408</v>
      </c>
      <c r="J9" s="499"/>
      <c r="K9" s="287"/>
      <c r="O9" s="283"/>
    </row>
    <row r="10" spans="1:16" s="280" customFormat="1" ht="21" customHeight="1">
      <c r="A10" s="279"/>
      <c r="E10" s="290" t="s">
        <v>1409</v>
      </c>
      <c r="G10" s="500"/>
      <c r="H10" s="500"/>
      <c r="I10" s="500"/>
      <c r="J10" s="500"/>
      <c r="K10" s="500"/>
      <c r="L10" s="500"/>
      <c r="M10" s="500"/>
      <c r="O10" s="283"/>
    </row>
    <row r="11" spans="1:16" s="280" customFormat="1" ht="21" customHeight="1">
      <c r="A11" s="279"/>
      <c r="E11" s="290" t="s">
        <v>1410</v>
      </c>
      <c r="G11" s="501">
        <f>IFERROR(G10+364,"")</f>
        <v>364</v>
      </c>
      <c r="H11" s="501"/>
      <c r="I11" s="501"/>
      <c r="J11" s="501"/>
      <c r="K11" s="501"/>
      <c r="L11" s="501"/>
      <c r="M11" s="501"/>
      <c r="O11" s="283"/>
    </row>
    <row r="12" spans="1:16" s="280" customFormat="1" ht="21" customHeight="1">
      <c r="A12" s="279"/>
      <c r="E12" s="280" t="s">
        <v>1447</v>
      </c>
      <c r="I12" s="502"/>
      <c r="J12" s="502"/>
      <c r="K12" s="502"/>
      <c r="L12" s="502"/>
      <c r="M12" s="502"/>
      <c r="O12" s="283"/>
    </row>
    <row r="13" spans="1:16" s="280" customFormat="1" ht="21" customHeight="1">
      <c r="A13" s="279"/>
      <c r="C13" s="280" t="s">
        <v>1418</v>
      </c>
      <c r="H13" s="286"/>
      <c r="J13" s="280" t="s">
        <v>1419</v>
      </c>
      <c r="K13" s="286"/>
      <c r="L13" s="286"/>
      <c r="M13" s="286"/>
      <c r="O13" s="283"/>
    </row>
    <row r="14" spans="1:16" s="280" customFormat="1" ht="21" customHeight="1">
      <c r="A14" s="279"/>
      <c r="E14" s="280" t="s">
        <v>1411</v>
      </c>
      <c r="H14" s="503">
        <f>IF('SERVICE ESTIMATE'!E64&gt;=0.28,'SERVICE ESTIMATE'!E69,'SERVICE ESTIMATE'!E70)</f>
        <v>0</v>
      </c>
      <c r="I14" s="503"/>
      <c r="J14" s="503"/>
      <c r="K14" s="312"/>
      <c r="L14" s="312"/>
      <c r="M14" s="312"/>
      <c r="O14" s="283"/>
    </row>
    <row r="15" spans="1:16" s="280" customFormat="1" ht="21" customHeight="1">
      <c r="A15" s="279"/>
      <c r="H15" s="280" t="s">
        <v>1412</v>
      </c>
      <c r="J15" s="286"/>
      <c r="L15" s="280" t="s">
        <v>1413</v>
      </c>
      <c r="M15" s="286"/>
      <c r="O15" s="283"/>
    </row>
    <row r="16" spans="1:16" s="280" customFormat="1" ht="21" customHeight="1">
      <c r="A16" s="279"/>
      <c r="B16" s="280" t="s">
        <v>1448</v>
      </c>
      <c r="J16" s="286"/>
      <c r="M16" s="286"/>
      <c r="O16" s="283"/>
    </row>
    <row r="17" spans="1:15" s="280" customFormat="1" ht="21" customHeight="1">
      <c r="A17" s="279"/>
      <c r="B17" s="280" t="s">
        <v>1449</v>
      </c>
      <c r="D17" s="484">
        <f>H14</f>
        <v>0</v>
      </c>
      <c r="E17" s="484"/>
      <c r="G17" s="281" t="s">
        <v>1421</v>
      </c>
      <c r="H17" s="484">
        <f>'SERVICE ESTIMATE'!E39</f>
        <v>0</v>
      </c>
      <c r="I17" s="484"/>
      <c r="J17" s="280" t="s">
        <v>1450</v>
      </c>
      <c r="K17" s="484">
        <f>'SERVICE ESTIMATE'!E47</f>
        <v>0</v>
      </c>
      <c r="L17" s="484"/>
      <c r="M17" s="286"/>
      <c r="O17" s="283"/>
    </row>
    <row r="18" spans="1:15" s="280" customFormat="1" ht="21" customHeight="1">
      <c r="A18" s="279"/>
      <c r="D18" s="315"/>
      <c r="E18" s="315"/>
      <c r="G18" s="281" t="s">
        <v>1466</v>
      </c>
      <c r="H18" s="484"/>
      <c r="I18" s="484"/>
      <c r="K18" s="315"/>
      <c r="L18" s="315"/>
      <c r="M18" s="286"/>
      <c r="O18" s="283"/>
    </row>
    <row r="19" spans="1:15" s="280" customFormat="1" ht="23.25" customHeight="1">
      <c r="A19" s="279"/>
      <c r="B19" s="295" t="s">
        <v>1765</v>
      </c>
      <c r="K19" s="481"/>
      <c r="L19" s="481"/>
      <c r="M19" s="481"/>
      <c r="O19" s="283"/>
    </row>
    <row r="20" spans="1:15" s="280" customFormat="1" ht="15.75" customHeight="1">
      <c r="A20" s="279"/>
      <c r="B20" s="284" t="s">
        <v>1112</v>
      </c>
      <c r="C20" s="284" t="s">
        <v>1113</v>
      </c>
      <c r="D20" s="284" t="s">
        <v>1114</v>
      </c>
      <c r="E20" s="284" t="s">
        <v>108</v>
      </c>
      <c r="F20" s="284" t="s">
        <v>109</v>
      </c>
      <c r="G20" s="284" t="s">
        <v>110</v>
      </c>
      <c r="H20" s="284" t="s">
        <v>1424</v>
      </c>
      <c r="I20" s="284" t="s">
        <v>1116</v>
      </c>
      <c r="J20" s="284" t="s">
        <v>1425</v>
      </c>
      <c r="K20" s="284" t="s">
        <v>1118</v>
      </c>
      <c r="L20" s="284" t="s">
        <v>1426</v>
      </c>
      <c r="M20" s="284" t="s">
        <v>1120</v>
      </c>
      <c r="O20" s="283"/>
    </row>
    <row r="21" spans="1:15" s="280" customFormat="1" ht="21.75" customHeight="1">
      <c r="A21" s="279"/>
      <c r="B21" s="464">
        <f>ESTIMATE!$Q$217-B24</f>
        <v>0</v>
      </c>
      <c r="C21" s="464">
        <f>ESTIMATE!$S$217-C24</f>
        <v>0</v>
      </c>
      <c r="D21" s="464">
        <f>ESTIMATE!$U$217-D24</f>
        <v>0</v>
      </c>
      <c r="E21" s="464">
        <f>ESTIMATE!$W$217-E24</f>
        <v>0</v>
      </c>
      <c r="F21" s="464">
        <f>ESTIMATE!$Y$217-F24</f>
        <v>0</v>
      </c>
      <c r="G21" s="464">
        <f>ESTIMATE!$AA$217-G24</f>
        <v>0</v>
      </c>
      <c r="H21" s="464">
        <f>ESTIMATE!$AC$217-H24</f>
        <v>0</v>
      </c>
      <c r="I21" s="464">
        <f>ESTIMATE!$AE$217-I24</f>
        <v>0</v>
      </c>
      <c r="J21" s="464">
        <f>ESTIMATE!$AG$217-J24</f>
        <v>0</v>
      </c>
      <c r="K21" s="464">
        <f>ESTIMATE!$AI$217-K24</f>
        <v>0</v>
      </c>
      <c r="L21" s="464">
        <f>ESTIMATE!$AK$217-L24</f>
        <v>0</v>
      </c>
      <c r="M21" s="464">
        <f>ESTIMATE!$AM$217-M24</f>
        <v>0</v>
      </c>
      <c r="O21" s="283"/>
    </row>
    <row r="22" spans="1:15" s="280" customFormat="1" ht="23.25" customHeight="1">
      <c r="A22" s="279"/>
      <c r="B22" s="295" t="s">
        <v>1764</v>
      </c>
      <c r="K22" s="481"/>
      <c r="L22" s="481"/>
      <c r="M22" s="481"/>
      <c r="O22" s="283"/>
    </row>
    <row r="23" spans="1:15" s="280" customFormat="1" ht="15.75" customHeight="1">
      <c r="A23" s="279"/>
      <c r="B23" s="284" t="s">
        <v>1112</v>
      </c>
      <c r="C23" s="284" t="s">
        <v>1113</v>
      </c>
      <c r="D23" s="284" t="s">
        <v>1114</v>
      </c>
      <c r="E23" s="284" t="s">
        <v>108</v>
      </c>
      <c r="F23" s="284" t="s">
        <v>109</v>
      </c>
      <c r="G23" s="284" t="s">
        <v>110</v>
      </c>
      <c r="H23" s="284" t="s">
        <v>1424</v>
      </c>
      <c r="I23" s="284" t="s">
        <v>1116</v>
      </c>
      <c r="J23" s="284" t="s">
        <v>1425</v>
      </c>
      <c r="K23" s="284" t="s">
        <v>1118</v>
      </c>
      <c r="L23" s="284" t="s">
        <v>1426</v>
      </c>
      <c r="M23" s="284" t="s">
        <v>1120</v>
      </c>
      <c r="O23" s="465" t="s">
        <v>1766</v>
      </c>
    </row>
    <row r="24" spans="1:15" s="280" customFormat="1" ht="21.75" customHeight="1">
      <c r="A24" s="279"/>
      <c r="B24" s="467">
        <f>ESTIMATE!$Q$209</f>
        <v>0</v>
      </c>
      <c r="C24" s="467">
        <f>ESTIMATE!$S$209</f>
        <v>0</v>
      </c>
      <c r="D24" s="467">
        <f>ESTIMATE!$U$209</f>
        <v>0</v>
      </c>
      <c r="E24" s="467">
        <f>ESTIMATE!$W$209</f>
        <v>0</v>
      </c>
      <c r="F24" s="467">
        <f>ESTIMATE!$Y$209</f>
        <v>0</v>
      </c>
      <c r="G24" s="467">
        <f>ESTIMATE!$AA$209</f>
        <v>0</v>
      </c>
      <c r="H24" s="467">
        <f>ESTIMATE!$AC$209</f>
        <v>0</v>
      </c>
      <c r="I24" s="467">
        <f>ESTIMATE!$AE$209</f>
        <v>0</v>
      </c>
      <c r="J24" s="467">
        <f>ESTIMATE!$AG$209</f>
        <v>0</v>
      </c>
      <c r="K24" s="467">
        <f>ESTIMATE!$AI$209</f>
        <v>0</v>
      </c>
      <c r="L24" s="467">
        <f>ESTIMATE!$AK$209</f>
        <v>0</v>
      </c>
      <c r="M24" s="467">
        <f>ESTIMATE!$AM$209</f>
        <v>0</v>
      </c>
      <c r="O24" s="466">
        <f>SUM(B21:M21,B24:M24)</f>
        <v>0</v>
      </c>
    </row>
    <row r="25" spans="1:15" s="280" customFormat="1" ht="21.75" customHeight="1">
      <c r="A25" s="279"/>
      <c r="B25" s="485" t="s">
        <v>1427</v>
      </c>
      <c r="C25" s="485"/>
      <c r="D25" s="485"/>
      <c r="E25" s="485"/>
      <c r="F25" s="485"/>
      <c r="G25" s="485"/>
      <c r="H25" s="485"/>
      <c r="I25" s="485"/>
      <c r="J25" s="485"/>
      <c r="K25" s="485"/>
      <c r="L25" s="485"/>
      <c r="M25" s="485"/>
      <c r="O25" s="283"/>
    </row>
    <row r="26" spans="1:15" s="280" customFormat="1" ht="15.75" customHeight="1">
      <c r="A26" s="279"/>
      <c r="B26" s="284" t="s">
        <v>1112</v>
      </c>
      <c r="C26" s="284" t="s">
        <v>1113</v>
      </c>
      <c r="D26" s="284" t="s">
        <v>1114</v>
      </c>
      <c r="E26" s="284" t="s">
        <v>108</v>
      </c>
      <c r="F26" s="284" t="s">
        <v>109</v>
      </c>
      <c r="G26" s="284" t="s">
        <v>110</v>
      </c>
      <c r="H26" s="284" t="s">
        <v>1424</v>
      </c>
      <c r="I26" s="284" t="s">
        <v>1116</v>
      </c>
      <c r="J26" s="284" t="s">
        <v>1425</v>
      </c>
      <c r="K26" s="284" t="s">
        <v>1118</v>
      </c>
      <c r="L26" s="284" t="s">
        <v>1426</v>
      </c>
      <c r="M26" s="284" t="s">
        <v>1120</v>
      </c>
      <c r="O26" s="283"/>
    </row>
    <row r="27" spans="1:15" s="280" customFormat="1" ht="21.75" customHeight="1">
      <c r="A27" s="279"/>
      <c r="B27" s="296" t="str">
        <f>IF(OR(MONTH($G$10)=COLUMN()-1, MONTH(EDATE($G$10,6))=COLUMN()-1), "X", "")</f>
        <v>X</v>
      </c>
      <c r="C27" s="296" t="str">
        <f t="shared" ref="C27:M27" si="0">IF(OR(MONTH($G$10)=COLUMN()-1, MONTH(EDATE($G$10,6))=COLUMN()-1), "X", "")</f>
        <v/>
      </c>
      <c r="D27" s="296" t="str">
        <f t="shared" si="0"/>
        <v/>
      </c>
      <c r="E27" s="296" t="str">
        <f t="shared" si="0"/>
        <v/>
      </c>
      <c r="F27" s="296" t="str">
        <f t="shared" si="0"/>
        <v/>
      </c>
      <c r="G27" s="296" t="str">
        <f t="shared" si="0"/>
        <v>X</v>
      </c>
      <c r="H27" s="296" t="str">
        <f t="shared" si="0"/>
        <v/>
      </c>
      <c r="I27" s="296" t="str">
        <f t="shared" si="0"/>
        <v/>
      </c>
      <c r="J27" s="296" t="str">
        <f t="shared" si="0"/>
        <v/>
      </c>
      <c r="K27" s="296" t="str">
        <f t="shared" si="0"/>
        <v/>
      </c>
      <c r="L27" s="296" t="str">
        <f t="shared" si="0"/>
        <v/>
      </c>
      <c r="M27" s="296" t="str">
        <f t="shared" si="0"/>
        <v/>
      </c>
      <c r="O27" s="283"/>
    </row>
    <row r="28" spans="1:15" s="280" customFormat="1" ht="26.25" customHeight="1">
      <c r="A28" s="279"/>
      <c r="B28" s="297" t="s">
        <v>1428</v>
      </c>
      <c r="E28" s="489"/>
      <c r="F28" s="489"/>
      <c r="G28" s="489"/>
      <c r="H28" s="489"/>
      <c r="I28" s="489"/>
      <c r="J28" s="489"/>
      <c r="K28" s="489"/>
      <c r="L28" s="489"/>
      <c r="M28" s="489"/>
      <c r="O28" s="283"/>
    </row>
    <row r="29" spans="1:15" s="280" customFormat="1" ht="21" customHeight="1">
      <c r="A29" s="279"/>
      <c r="B29" s="297" t="s">
        <v>1429</v>
      </c>
      <c r="O29" s="283"/>
    </row>
    <row r="30" spans="1:15" s="280" customFormat="1" ht="21" customHeight="1">
      <c r="A30" s="279"/>
      <c r="B30" s="297" t="s">
        <v>1430</v>
      </c>
      <c r="E30" s="280" t="s">
        <v>1431</v>
      </c>
      <c r="H30" s="280" t="s">
        <v>1432</v>
      </c>
      <c r="L30" s="280" t="s">
        <v>1433</v>
      </c>
      <c r="O30" s="283"/>
    </row>
    <row r="31" spans="1:15" s="280" customFormat="1" ht="20.25" customHeight="1">
      <c r="A31" s="279"/>
      <c r="B31" s="298"/>
      <c r="E31" s="280" t="s">
        <v>1434</v>
      </c>
      <c r="I31" s="490"/>
      <c r="J31" s="490"/>
      <c r="K31" s="490"/>
      <c r="L31" s="687" t="s">
        <v>1840</v>
      </c>
      <c r="M31" s="687"/>
      <c r="O31" s="283"/>
    </row>
    <row r="32" spans="1:15" s="297" customFormat="1" ht="18" customHeight="1">
      <c r="A32" s="299"/>
      <c r="B32" s="300"/>
      <c r="G32" s="281" t="s">
        <v>1435</v>
      </c>
      <c r="H32" s="490"/>
      <c r="I32" s="490"/>
      <c r="J32" s="301" t="s">
        <v>1436</v>
      </c>
      <c r="O32" s="302"/>
    </row>
    <row r="33" spans="1:15" s="280" customFormat="1" ht="20.25" customHeight="1">
      <c r="A33" s="279"/>
      <c r="B33" s="298"/>
      <c r="E33" s="280" t="s">
        <v>1437</v>
      </c>
      <c r="I33" s="488"/>
      <c r="J33" s="488"/>
      <c r="K33" s="488"/>
      <c r="L33" s="488"/>
      <c r="M33" s="488"/>
      <c r="O33" s="283"/>
    </row>
    <row r="34" spans="1:15" s="297" customFormat="1" ht="18" customHeight="1">
      <c r="A34" s="299"/>
      <c r="B34" s="300"/>
      <c r="G34" s="281" t="s">
        <v>1438</v>
      </c>
      <c r="H34" s="490"/>
      <c r="I34" s="490"/>
      <c r="J34" s="490"/>
      <c r="K34" s="490"/>
      <c r="L34" s="490"/>
      <c r="M34" s="490"/>
      <c r="O34" s="302"/>
    </row>
    <row r="35" spans="1:15" s="280" customFormat="1" ht="18" customHeight="1">
      <c r="A35" s="279"/>
      <c r="B35" s="298"/>
      <c r="E35" s="280" t="s">
        <v>1439</v>
      </c>
      <c r="G35" s="488"/>
      <c r="H35" s="488"/>
      <c r="I35" s="488"/>
      <c r="J35" s="488"/>
      <c r="K35" s="488"/>
      <c r="L35" s="488"/>
      <c r="M35" s="488"/>
      <c r="O35" s="283"/>
    </row>
    <row r="36" spans="1:15" s="280" customFormat="1" ht="6.75" customHeight="1">
      <c r="A36" s="279"/>
      <c r="B36" s="298"/>
      <c r="G36" s="286"/>
      <c r="H36" s="286"/>
      <c r="I36" s="286"/>
      <c r="J36" s="286"/>
      <c r="K36" s="286"/>
      <c r="L36" s="286"/>
      <c r="M36" s="286"/>
      <c r="O36" s="283"/>
    </row>
    <row r="37" spans="1:15" s="280" customFormat="1" ht="26.1" customHeight="1">
      <c r="A37" s="279"/>
      <c r="B37" s="311" t="s">
        <v>1440</v>
      </c>
      <c r="E37" s="482"/>
      <c r="F37" s="482"/>
      <c r="G37" s="482"/>
      <c r="H37" s="482"/>
      <c r="I37" s="482"/>
      <c r="J37" s="482"/>
      <c r="K37" s="482"/>
      <c r="L37" s="482"/>
      <c r="M37" s="482"/>
      <c r="O37" s="283"/>
    </row>
    <row r="38" spans="1:15" s="280" customFormat="1" ht="15.75" customHeight="1">
      <c r="A38" s="491" t="s">
        <v>1465</v>
      </c>
      <c r="B38" s="492"/>
      <c r="C38" s="492"/>
      <c r="D38" s="493"/>
      <c r="E38" s="482"/>
      <c r="F38" s="482"/>
      <c r="G38" s="482"/>
      <c r="H38" s="482"/>
      <c r="I38" s="482"/>
      <c r="J38" s="482"/>
      <c r="K38" s="482"/>
      <c r="L38" s="482"/>
      <c r="M38" s="482"/>
      <c r="O38" s="283"/>
    </row>
    <row r="39" spans="1:15" s="280" customFormat="1" ht="6.75" customHeight="1">
      <c r="A39" s="279"/>
      <c r="B39" s="291"/>
      <c r="C39" s="291"/>
      <c r="D39" s="291"/>
      <c r="E39" s="303"/>
      <c r="F39" s="303"/>
      <c r="G39" s="303"/>
      <c r="H39" s="303"/>
      <c r="I39" s="303"/>
      <c r="J39" s="303"/>
      <c r="K39" s="303"/>
      <c r="L39" s="303"/>
      <c r="M39" s="303"/>
      <c r="O39" s="283"/>
    </row>
    <row r="40" spans="1:15" s="280" customFormat="1" ht="26.1" customHeight="1">
      <c r="A40" s="279"/>
      <c r="B40" s="311" t="s">
        <v>1441</v>
      </c>
      <c r="E40" s="482"/>
      <c r="F40" s="482"/>
      <c r="G40" s="482"/>
      <c r="H40" s="482"/>
      <c r="I40" s="482"/>
      <c r="J40" s="482"/>
      <c r="K40" s="482"/>
      <c r="L40" s="482"/>
      <c r="M40" s="482"/>
      <c r="O40" s="283"/>
    </row>
    <row r="41" spans="1:15" s="280" customFormat="1" ht="15.75" customHeight="1">
      <c r="A41" s="279"/>
      <c r="B41" s="291"/>
      <c r="C41" s="291"/>
      <c r="D41" s="291"/>
      <c r="E41" s="482"/>
      <c r="F41" s="482"/>
      <c r="G41" s="482"/>
      <c r="H41" s="482"/>
      <c r="I41" s="482"/>
      <c r="J41" s="482"/>
      <c r="K41" s="482"/>
      <c r="L41" s="482"/>
      <c r="M41" s="482"/>
      <c r="O41" s="283"/>
    </row>
    <row r="42" spans="1:15" s="280" customFormat="1" ht="21" customHeight="1">
      <c r="A42" s="279"/>
      <c r="C42" s="281" t="s">
        <v>1442</v>
      </c>
      <c r="D42" s="483">
        <f>D3</f>
        <v>0</v>
      </c>
      <c r="E42" s="483"/>
      <c r="F42" s="483"/>
      <c r="G42" s="483"/>
      <c r="H42" s="483"/>
      <c r="I42" s="483"/>
      <c r="J42" s="483"/>
      <c r="K42" s="483"/>
      <c r="L42" s="483"/>
      <c r="M42" s="483"/>
      <c r="O42" s="283"/>
    </row>
    <row r="43" spans="1:15" ht="10.7" customHeight="1">
      <c r="A43" s="277"/>
      <c r="O43" s="278"/>
    </row>
    <row r="44" spans="1:15" ht="18.75" customHeight="1">
      <c r="A44" s="277"/>
      <c r="B44" s="486" t="s">
        <v>1443</v>
      </c>
      <c r="C44" s="486"/>
      <c r="D44" s="487"/>
      <c r="E44" s="487"/>
      <c r="F44" s="487"/>
      <c r="G44" s="487"/>
      <c r="H44" s="487"/>
      <c r="I44" s="487"/>
      <c r="J44" s="487"/>
      <c r="K44" s="487"/>
      <c r="L44" s="487"/>
      <c r="M44" s="487"/>
      <c r="O44" s="278"/>
    </row>
    <row r="45" spans="1:15" ht="15.75" thickBot="1">
      <c r="A45" s="304"/>
      <c r="B45" s="305"/>
      <c r="C45" s="305"/>
      <c r="D45" s="305" t="s">
        <v>1444</v>
      </c>
      <c r="E45" s="305"/>
      <c r="F45" s="305"/>
      <c r="G45" s="305"/>
      <c r="H45" s="305"/>
      <c r="I45" s="305"/>
      <c r="J45" s="305"/>
      <c r="K45" s="305"/>
      <c r="L45" s="305"/>
      <c r="M45" s="305"/>
      <c r="N45" s="305"/>
      <c r="O45" s="306"/>
    </row>
  </sheetData>
  <sheetProtection algorithmName="SHA-512" hashValue="JQ4kdCXURVlu2JVCgNdMvAl+xcRou24oGt692GGJns459JyvBzsroYeX7+OWwz8lZxl4TbjOqvTXSOZbMnG6sg==" saltValue="/CfuiK1btdovrZNmF4S9tg==" spinCount="100000" sheet="1" formatCells="0" insertHyperlinks="0" selectLockedCells="1" sort="0" autoFilter="0" pivotTables="0"/>
  <mergeCells count="32">
    <mergeCell ref="E8:M8"/>
    <mergeCell ref="D17:E17"/>
    <mergeCell ref="H17:I17"/>
    <mergeCell ref="K17:L17"/>
    <mergeCell ref="I9:J9"/>
    <mergeCell ref="G10:M10"/>
    <mergeCell ref="G11:M11"/>
    <mergeCell ref="I12:M12"/>
    <mergeCell ref="H14:J14"/>
    <mergeCell ref="D7:M7"/>
    <mergeCell ref="B2:M2"/>
    <mergeCell ref="D3:G3"/>
    <mergeCell ref="D5:G5"/>
    <mergeCell ref="K3:N3"/>
    <mergeCell ref="K5:N5"/>
    <mergeCell ref="D4:G4"/>
    <mergeCell ref="B44:C44"/>
    <mergeCell ref="D44:M44"/>
    <mergeCell ref="G35:M35"/>
    <mergeCell ref="K22:M22"/>
    <mergeCell ref="E28:M28"/>
    <mergeCell ref="H32:I32"/>
    <mergeCell ref="I33:M33"/>
    <mergeCell ref="H34:M34"/>
    <mergeCell ref="A38:D38"/>
    <mergeCell ref="I31:K31"/>
    <mergeCell ref="K19:M19"/>
    <mergeCell ref="E37:M38"/>
    <mergeCell ref="E40:M41"/>
    <mergeCell ref="D42:M42"/>
    <mergeCell ref="H18:I18"/>
    <mergeCell ref="B25:M25"/>
  </mergeCells>
  <conditionalFormatting sqref="K3 D7 E8 G10 H14 D3:D4 K5">
    <cfRule type="containsBlanks" dxfId="22" priority="10">
      <formula>LEN(TRIM(D3))=0</formula>
    </cfRule>
  </conditionalFormatting>
  <conditionalFormatting sqref="I9:J9">
    <cfRule type="cellIs" dxfId="21" priority="9" operator="equal">
      <formula>"Market Segment"</formula>
    </cfRule>
  </conditionalFormatting>
  <conditionalFormatting sqref="D42:M42">
    <cfRule type="cellIs" dxfId="20" priority="7" operator="equal">
      <formula>0</formula>
    </cfRule>
  </conditionalFormatting>
  <conditionalFormatting sqref="D5:G5">
    <cfRule type="containsBlanks" dxfId="19" priority="6">
      <formula>LEN(TRIM(D5))=0</formula>
    </cfRule>
  </conditionalFormatting>
  <conditionalFormatting sqref="I31">
    <cfRule type="containsBlanks" dxfId="18" priority="5">
      <formula>LEN(TRIM(I31))=0</formula>
    </cfRule>
  </conditionalFormatting>
  <conditionalFormatting sqref="H32">
    <cfRule type="containsBlanks" dxfId="17" priority="4">
      <formula>LEN(TRIM(H32))=0</formula>
    </cfRule>
  </conditionalFormatting>
  <conditionalFormatting sqref="B21:M21 B24:M24">
    <cfRule type="cellIs" dxfId="16" priority="3" operator="equal">
      <formula>0</formula>
    </cfRule>
  </conditionalFormatting>
  <dataValidations count="2">
    <dataValidation type="list" allowBlank="1" showInputMessage="1" showErrorMessage="1" sqref="I9:J9" xr:uid="{E38B004C-88A9-4D2B-A5B1-48F985016FCD}">
      <formula1>"Market Segment,Bank,Commercial,Education,Gaming,Government,Healthcare,Hitech,Hospitality,Indirect/Other,Industrial,Power,Religious,Residential-Less than 5 stories,Residential-5 or More stories,Restaurant/Retail,Transportation"</formula1>
    </dataValidation>
    <dataValidation type="list" allowBlank="1" showInputMessage="1" showErrorMessage="1" sqref="H32:I32" xr:uid="{B0C92324-94E3-4DC3-AA5C-7BC78452F830}">
      <formula1>"Street Rate,Preferred Rate"</formula1>
    </dataValidation>
  </dataValidations>
  <printOptions horizontalCentered="1"/>
  <pageMargins left="0.66929133858267698" right="0.70866141732283505" top="0.43307086614173201" bottom="0.18" header="0.31496062992126" footer="0.18"/>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nchor moveWithCells="1">
                  <from>
                    <xdr:col>1</xdr:col>
                    <xdr:colOff>314325</xdr:colOff>
                    <xdr:row>5</xdr:row>
                    <xdr:rowOff>142875</xdr:rowOff>
                  </from>
                  <to>
                    <xdr:col>2</xdr:col>
                    <xdr:colOff>114300</xdr:colOff>
                    <xdr:row>6</xdr:row>
                    <xdr:rowOff>19050</xdr:rowOff>
                  </to>
                </anchor>
              </controlPr>
            </control>
          </mc:Choice>
        </mc:AlternateContent>
        <mc:AlternateContent xmlns:mc="http://schemas.openxmlformats.org/markup-compatibility/2006">
          <mc:Choice Requires="x14">
            <control shapeId="27650" r:id="rId5" name="Check Box 2">
              <controlPr defaultSize="0" autoFill="0" autoLine="0" autoPict="0">
                <anchor moveWithCells="1">
                  <from>
                    <xdr:col>1</xdr:col>
                    <xdr:colOff>0</xdr:colOff>
                    <xdr:row>28</xdr:row>
                    <xdr:rowOff>66675</xdr:rowOff>
                  </from>
                  <to>
                    <xdr:col>1</xdr:col>
                    <xdr:colOff>304800</xdr:colOff>
                    <xdr:row>29</xdr:row>
                    <xdr:rowOff>19050</xdr:rowOff>
                  </to>
                </anchor>
              </controlPr>
            </control>
          </mc:Choice>
        </mc:AlternateContent>
        <mc:AlternateContent xmlns:mc="http://schemas.openxmlformats.org/markup-compatibility/2006">
          <mc:Choice Requires="x14">
            <control shapeId="27651" r:id="rId6" name="Check Box 3">
              <controlPr defaultSize="0" autoFill="0" autoLine="0" autoPict="0">
                <anchor moveWithCells="1">
                  <from>
                    <xdr:col>1</xdr:col>
                    <xdr:colOff>0</xdr:colOff>
                    <xdr:row>27</xdr:row>
                    <xdr:rowOff>142875</xdr:rowOff>
                  </from>
                  <to>
                    <xdr:col>1</xdr:col>
                    <xdr:colOff>304800</xdr:colOff>
                    <xdr:row>28</xdr:row>
                    <xdr:rowOff>28575</xdr:rowOff>
                  </to>
                </anchor>
              </controlPr>
            </control>
          </mc:Choice>
        </mc:AlternateContent>
        <mc:AlternateContent xmlns:mc="http://schemas.openxmlformats.org/markup-compatibility/2006">
          <mc:Choice Requires="x14">
            <control shapeId="27652" r:id="rId7" name="Check Box 4">
              <controlPr defaultSize="0" autoFill="0" autoLine="0" autoPict="0">
                <anchor moveWithCells="1">
                  <from>
                    <xdr:col>1</xdr:col>
                    <xdr:colOff>0</xdr:colOff>
                    <xdr:row>29</xdr:row>
                    <xdr:rowOff>57150</xdr:rowOff>
                  </from>
                  <to>
                    <xdr:col>1</xdr:col>
                    <xdr:colOff>304800</xdr:colOff>
                    <xdr:row>30</xdr:row>
                    <xdr:rowOff>9525</xdr:rowOff>
                  </to>
                </anchor>
              </controlPr>
            </control>
          </mc:Choice>
        </mc:AlternateContent>
        <mc:AlternateContent xmlns:mc="http://schemas.openxmlformats.org/markup-compatibility/2006">
          <mc:Choice Requires="x14">
            <control shapeId="27653" r:id="rId8" name="Check Box 5">
              <controlPr defaultSize="0" autoFill="0" autoLine="0" autoPict="0">
                <anchor moveWithCells="1">
                  <from>
                    <xdr:col>1</xdr:col>
                    <xdr:colOff>0</xdr:colOff>
                    <xdr:row>35</xdr:row>
                    <xdr:rowOff>76200</xdr:rowOff>
                  </from>
                  <to>
                    <xdr:col>1</xdr:col>
                    <xdr:colOff>304800</xdr:colOff>
                    <xdr:row>37</xdr:row>
                    <xdr:rowOff>0</xdr:rowOff>
                  </to>
                </anchor>
              </controlPr>
            </control>
          </mc:Choice>
        </mc:AlternateContent>
        <mc:AlternateContent xmlns:mc="http://schemas.openxmlformats.org/markup-compatibility/2006">
          <mc:Choice Requires="x14">
            <control shapeId="27654" r:id="rId9" name="Check Box 6">
              <controlPr defaultSize="0" autoFill="0" autoLine="0" autoPict="0">
                <anchor moveWithCells="1">
                  <from>
                    <xdr:col>1</xdr:col>
                    <xdr:colOff>0</xdr:colOff>
                    <xdr:row>38</xdr:row>
                    <xdr:rowOff>76200</xdr:rowOff>
                  </from>
                  <to>
                    <xdr:col>1</xdr:col>
                    <xdr:colOff>304800</xdr:colOff>
                    <xdr:row>40</xdr:row>
                    <xdr:rowOff>0</xdr:rowOff>
                  </to>
                </anchor>
              </controlPr>
            </control>
          </mc:Choice>
        </mc:AlternateContent>
        <mc:AlternateContent xmlns:mc="http://schemas.openxmlformats.org/markup-compatibility/2006">
          <mc:Choice Requires="x14">
            <control shapeId="27655" r:id="rId10" name="Check Box 7">
              <controlPr defaultSize="0" autoFill="0" autoLine="0" autoPict="0">
                <anchor moveWithCells="1">
                  <from>
                    <xdr:col>3</xdr:col>
                    <xdr:colOff>314325</xdr:colOff>
                    <xdr:row>9</xdr:row>
                    <xdr:rowOff>57150</xdr:rowOff>
                  </from>
                  <to>
                    <xdr:col>4</xdr:col>
                    <xdr:colOff>133350</xdr:colOff>
                    <xdr:row>10</xdr:row>
                    <xdr:rowOff>0</xdr:rowOff>
                  </to>
                </anchor>
              </controlPr>
            </control>
          </mc:Choice>
        </mc:AlternateContent>
        <mc:AlternateContent xmlns:mc="http://schemas.openxmlformats.org/markup-compatibility/2006">
          <mc:Choice Requires="x14">
            <control shapeId="27656" r:id="rId11" name="Check Box 8">
              <controlPr defaultSize="0" autoFill="0" autoLine="0" autoPict="0">
                <anchor moveWithCells="1">
                  <from>
                    <xdr:col>3</xdr:col>
                    <xdr:colOff>314325</xdr:colOff>
                    <xdr:row>10</xdr:row>
                    <xdr:rowOff>57150</xdr:rowOff>
                  </from>
                  <to>
                    <xdr:col>4</xdr:col>
                    <xdr:colOff>133350</xdr:colOff>
                    <xdr:row>11</xdr:row>
                    <xdr:rowOff>0</xdr:rowOff>
                  </to>
                </anchor>
              </controlPr>
            </control>
          </mc:Choice>
        </mc:AlternateContent>
        <mc:AlternateContent xmlns:mc="http://schemas.openxmlformats.org/markup-compatibility/2006">
          <mc:Choice Requires="x14">
            <control shapeId="27657" r:id="rId12" name="Check Box 9">
              <controlPr defaultSize="0" autoFill="0" autoLine="0" autoPict="0">
                <anchor moveWithCells="1">
                  <from>
                    <xdr:col>3</xdr:col>
                    <xdr:colOff>304800</xdr:colOff>
                    <xdr:row>34</xdr:row>
                    <xdr:rowOff>0</xdr:rowOff>
                  </from>
                  <to>
                    <xdr:col>4</xdr:col>
                    <xdr:colOff>123825</xdr:colOff>
                    <xdr:row>34</xdr:row>
                    <xdr:rowOff>219075</xdr:rowOff>
                  </to>
                </anchor>
              </controlPr>
            </control>
          </mc:Choice>
        </mc:AlternateContent>
        <mc:AlternateContent xmlns:mc="http://schemas.openxmlformats.org/markup-compatibility/2006">
          <mc:Choice Requires="x14">
            <control shapeId="27658" r:id="rId13" name="Check Box 10">
              <controlPr defaultSize="0" autoFill="0" autoLine="0" autoPict="0">
                <anchor moveWithCells="1">
                  <from>
                    <xdr:col>3</xdr:col>
                    <xdr:colOff>304800</xdr:colOff>
                    <xdr:row>34</xdr:row>
                    <xdr:rowOff>0</xdr:rowOff>
                  </from>
                  <to>
                    <xdr:col>4</xdr:col>
                    <xdr:colOff>123825</xdr:colOff>
                    <xdr:row>34</xdr:row>
                    <xdr:rowOff>219075</xdr:rowOff>
                  </to>
                </anchor>
              </controlPr>
            </control>
          </mc:Choice>
        </mc:AlternateContent>
        <mc:AlternateContent xmlns:mc="http://schemas.openxmlformats.org/markup-compatibility/2006">
          <mc:Choice Requires="x14">
            <control shapeId="27659" r:id="rId14" name="Check Box 11">
              <controlPr defaultSize="0" autoFill="0" autoLine="0" autoPict="0">
                <anchor moveWithCells="1">
                  <from>
                    <xdr:col>3</xdr:col>
                    <xdr:colOff>295275</xdr:colOff>
                    <xdr:row>13</xdr:row>
                    <xdr:rowOff>85725</xdr:rowOff>
                  </from>
                  <to>
                    <xdr:col>4</xdr:col>
                    <xdr:colOff>114300</xdr:colOff>
                    <xdr:row>14</xdr:row>
                    <xdr:rowOff>28575</xdr:rowOff>
                  </to>
                </anchor>
              </controlPr>
            </control>
          </mc:Choice>
        </mc:AlternateContent>
        <mc:AlternateContent xmlns:mc="http://schemas.openxmlformats.org/markup-compatibility/2006">
          <mc:Choice Requires="x14">
            <control shapeId="27660" r:id="rId15" name="Check Box 12">
              <controlPr defaultSize="0" autoFill="0" autoLine="0" autoPict="0">
                <anchor moveWithCells="1">
                  <from>
                    <xdr:col>5</xdr:col>
                    <xdr:colOff>304800</xdr:colOff>
                    <xdr:row>5</xdr:row>
                    <xdr:rowOff>142875</xdr:rowOff>
                  </from>
                  <to>
                    <xdr:col>6</xdr:col>
                    <xdr:colOff>123825</xdr:colOff>
                    <xdr:row>6</xdr:row>
                    <xdr:rowOff>19050</xdr:rowOff>
                  </to>
                </anchor>
              </controlPr>
            </control>
          </mc:Choice>
        </mc:AlternateContent>
        <mc:AlternateContent xmlns:mc="http://schemas.openxmlformats.org/markup-compatibility/2006">
          <mc:Choice Requires="x14">
            <control shapeId="27661" r:id="rId16" name="Check Box 13">
              <controlPr defaultSize="0" autoFill="0" autoLine="0" autoPict="0">
                <anchor moveWithCells="1">
                  <from>
                    <xdr:col>3</xdr:col>
                    <xdr:colOff>304800</xdr:colOff>
                    <xdr:row>30</xdr:row>
                    <xdr:rowOff>47625</xdr:rowOff>
                  </from>
                  <to>
                    <xdr:col>4</xdr:col>
                    <xdr:colOff>123825</xdr:colOff>
                    <xdr:row>31</xdr:row>
                    <xdr:rowOff>9525</xdr:rowOff>
                  </to>
                </anchor>
              </controlPr>
            </control>
          </mc:Choice>
        </mc:AlternateContent>
        <mc:AlternateContent xmlns:mc="http://schemas.openxmlformats.org/markup-compatibility/2006">
          <mc:Choice Requires="x14">
            <control shapeId="27662" r:id="rId17" name="Check Box 14">
              <controlPr defaultSize="0" autoFill="0" autoLine="0" autoPict="0">
                <anchor moveWithCells="1">
                  <from>
                    <xdr:col>3</xdr:col>
                    <xdr:colOff>304800</xdr:colOff>
                    <xdr:row>32</xdr:row>
                    <xdr:rowOff>47625</xdr:rowOff>
                  </from>
                  <to>
                    <xdr:col>4</xdr:col>
                    <xdr:colOff>123825</xdr:colOff>
                    <xdr:row>33</xdr:row>
                    <xdr:rowOff>9525</xdr:rowOff>
                  </to>
                </anchor>
              </controlPr>
            </control>
          </mc:Choice>
        </mc:AlternateContent>
        <mc:AlternateContent xmlns:mc="http://schemas.openxmlformats.org/markup-compatibility/2006">
          <mc:Choice Requires="x14">
            <control shapeId="27663" r:id="rId18" name="Check Box 15">
              <controlPr defaultSize="0" autoFill="0" autoLine="0" autoPict="0">
                <anchor moveWithCells="1">
                  <from>
                    <xdr:col>8</xdr:col>
                    <xdr:colOff>295275</xdr:colOff>
                    <xdr:row>5</xdr:row>
                    <xdr:rowOff>152400</xdr:rowOff>
                  </from>
                  <to>
                    <xdr:col>9</xdr:col>
                    <xdr:colOff>76200</xdr:colOff>
                    <xdr:row>6</xdr:row>
                    <xdr:rowOff>38100</xdr:rowOff>
                  </to>
                </anchor>
              </controlPr>
            </control>
          </mc:Choice>
        </mc:AlternateContent>
        <mc:AlternateContent xmlns:mc="http://schemas.openxmlformats.org/markup-compatibility/2006">
          <mc:Choice Requires="x14">
            <control shapeId="27664" r:id="rId19" name="Check Box 16">
              <controlPr defaultSize="0" autoFill="0" autoLine="0" autoPict="0">
                <anchor moveWithCells="1">
                  <from>
                    <xdr:col>3</xdr:col>
                    <xdr:colOff>304800</xdr:colOff>
                    <xdr:row>34</xdr:row>
                    <xdr:rowOff>0</xdr:rowOff>
                  </from>
                  <to>
                    <xdr:col>4</xdr:col>
                    <xdr:colOff>123825</xdr:colOff>
                    <xdr:row>34</xdr:row>
                    <xdr:rowOff>219075</xdr:rowOff>
                  </to>
                </anchor>
              </controlPr>
            </control>
          </mc:Choice>
        </mc:AlternateContent>
        <mc:AlternateContent xmlns:mc="http://schemas.openxmlformats.org/markup-compatibility/2006">
          <mc:Choice Requires="x14">
            <control shapeId="27665" r:id="rId20" name="Check Box 17">
              <controlPr defaultSize="0" autoFill="0" autoLine="0" autoPict="0">
                <anchor moveWithCells="1">
                  <from>
                    <xdr:col>6</xdr:col>
                    <xdr:colOff>304800</xdr:colOff>
                    <xdr:row>14</xdr:row>
                    <xdr:rowOff>85725</xdr:rowOff>
                  </from>
                  <to>
                    <xdr:col>7</xdr:col>
                    <xdr:colOff>123825</xdr:colOff>
                    <xdr:row>15</xdr:row>
                    <xdr:rowOff>28575</xdr:rowOff>
                  </to>
                </anchor>
              </controlPr>
            </control>
          </mc:Choice>
        </mc:AlternateContent>
        <mc:AlternateContent xmlns:mc="http://schemas.openxmlformats.org/markup-compatibility/2006">
          <mc:Choice Requires="x14">
            <control shapeId="27666" r:id="rId21" name="Check Box 18">
              <controlPr defaultSize="0" autoFill="0" autoLine="0" autoPict="0">
                <anchor moveWithCells="1">
                  <from>
                    <xdr:col>10</xdr:col>
                    <xdr:colOff>304800</xdr:colOff>
                    <xdr:row>14</xdr:row>
                    <xdr:rowOff>85725</xdr:rowOff>
                  </from>
                  <to>
                    <xdr:col>11</xdr:col>
                    <xdr:colOff>123825</xdr:colOff>
                    <xdr:row>15</xdr:row>
                    <xdr:rowOff>28575</xdr:rowOff>
                  </to>
                </anchor>
              </controlPr>
            </control>
          </mc:Choice>
        </mc:AlternateContent>
        <mc:AlternateContent xmlns:mc="http://schemas.openxmlformats.org/markup-compatibility/2006">
          <mc:Choice Requires="x14">
            <control shapeId="27667" r:id="rId22" name="Check Box 19">
              <controlPr defaultSize="0" autoFill="0" autoLine="0" autoPict="0">
                <anchor moveWithCells="1">
                  <from>
                    <xdr:col>1</xdr:col>
                    <xdr:colOff>304800</xdr:colOff>
                    <xdr:row>12</xdr:row>
                    <xdr:rowOff>76200</xdr:rowOff>
                  </from>
                  <to>
                    <xdr:col>2</xdr:col>
                    <xdr:colOff>123825</xdr:colOff>
                    <xdr:row>13</xdr:row>
                    <xdr:rowOff>19050</xdr:rowOff>
                  </to>
                </anchor>
              </controlPr>
            </control>
          </mc:Choice>
        </mc:AlternateContent>
        <mc:AlternateContent xmlns:mc="http://schemas.openxmlformats.org/markup-compatibility/2006">
          <mc:Choice Requires="x14">
            <control shapeId="27668" r:id="rId23" name="Check Box 20">
              <controlPr defaultSize="0" autoFill="0" autoLine="0" autoPict="0">
                <anchor moveWithCells="1">
                  <from>
                    <xdr:col>8</xdr:col>
                    <xdr:colOff>304800</xdr:colOff>
                    <xdr:row>12</xdr:row>
                    <xdr:rowOff>76200</xdr:rowOff>
                  </from>
                  <to>
                    <xdr:col>9</xdr:col>
                    <xdr:colOff>85725</xdr:colOff>
                    <xdr:row>13</xdr:row>
                    <xdr:rowOff>19050</xdr:rowOff>
                  </to>
                </anchor>
              </controlPr>
            </control>
          </mc:Choice>
        </mc:AlternateContent>
        <mc:AlternateContent xmlns:mc="http://schemas.openxmlformats.org/markup-compatibility/2006">
          <mc:Choice Requires="x14">
            <control shapeId="27669" r:id="rId24" name="Check Box 21">
              <controlPr defaultSize="0" autoFill="0" autoLine="0" autoPict="0">
                <anchor moveWithCells="1">
                  <from>
                    <xdr:col>3</xdr:col>
                    <xdr:colOff>314325</xdr:colOff>
                    <xdr:row>29</xdr:row>
                    <xdr:rowOff>19050</xdr:rowOff>
                  </from>
                  <to>
                    <xdr:col>4</xdr:col>
                    <xdr:colOff>85725</xdr:colOff>
                    <xdr:row>30</xdr:row>
                    <xdr:rowOff>9525</xdr:rowOff>
                  </to>
                </anchor>
              </controlPr>
            </control>
          </mc:Choice>
        </mc:AlternateContent>
        <mc:AlternateContent xmlns:mc="http://schemas.openxmlformats.org/markup-compatibility/2006">
          <mc:Choice Requires="x14">
            <control shapeId="27670" r:id="rId25" name="Check Box 22">
              <controlPr defaultSize="0" autoFill="0" autoLine="0" autoPict="0">
                <anchor moveWithCells="1">
                  <from>
                    <xdr:col>7</xdr:col>
                    <xdr:colOff>104775</xdr:colOff>
                    <xdr:row>29</xdr:row>
                    <xdr:rowOff>57150</xdr:rowOff>
                  </from>
                  <to>
                    <xdr:col>7</xdr:col>
                    <xdr:colOff>333375</xdr:colOff>
                    <xdr:row>30</xdr:row>
                    <xdr:rowOff>9525</xdr:rowOff>
                  </to>
                </anchor>
              </controlPr>
            </control>
          </mc:Choice>
        </mc:AlternateContent>
        <mc:AlternateContent xmlns:mc="http://schemas.openxmlformats.org/markup-compatibility/2006">
          <mc:Choice Requires="x14">
            <control shapeId="27671" r:id="rId26" name="Check Box 23">
              <controlPr defaultSize="0" autoFill="0" autoLine="0" autoPict="0">
                <anchor moveWithCells="1">
                  <from>
                    <xdr:col>10</xdr:col>
                    <xdr:colOff>295275</xdr:colOff>
                    <xdr:row>29</xdr:row>
                    <xdr:rowOff>47625</xdr:rowOff>
                  </from>
                  <to>
                    <xdr:col>11</xdr:col>
                    <xdr:colOff>114300</xdr:colOff>
                    <xdr:row>30</xdr:row>
                    <xdr:rowOff>0</xdr:rowOff>
                  </to>
                </anchor>
              </controlPr>
            </control>
          </mc:Choice>
        </mc:AlternateContent>
        <mc:AlternateContent xmlns:mc="http://schemas.openxmlformats.org/markup-compatibility/2006">
          <mc:Choice Requires="x14">
            <control shapeId="27672" r:id="rId27" name="Check Box 24">
              <controlPr defaultSize="0" autoFill="0" autoLine="0" autoPict="0">
                <anchor moveWithCells="1">
                  <from>
                    <xdr:col>2</xdr:col>
                    <xdr:colOff>476250</xdr:colOff>
                    <xdr:row>8</xdr:row>
                    <xdr:rowOff>57150</xdr:rowOff>
                  </from>
                  <to>
                    <xdr:col>3</xdr:col>
                    <xdr:colOff>200025</xdr:colOff>
                    <xdr:row>9</xdr:row>
                    <xdr:rowOff>0</xdr:rowOff>
                  </to>
                </anchor>
              </controlPr>
            </control>
          </mc:Choice>
        </mc:AlternateContent>
        <mc:AlternateContent xmlns:mc="http://schemas.openxmlformats.org/markup-compatibility/2006">
          <mc:Choice Requires="x14">
            <control shapeId="27674" r:id="rId28" name="Check Box 26">
              <controlPr defaultSize="0" autoFill="0" autoLine="0" autoPict="0">
                <anchor moveWithCells="1">
                  <from>
                    <xdr:col>3</xdr:col>
                    <xdr:colOff>314325</xdr:colOff>
                    <xdr:row>11</xdr:row>
                    <xdr:rowOff>57150</xdr:rowOff>
                  </from>
                  <to>
                    <xdr:col>4</xdr:col>
                    <xdr:colOff>133350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59774-7EAA-41ED-969B-08A091B1ADDA}">
  <sheetPr codeName="Sheet15"/>
  <dimension ref="A1:P48"/>
  <sheetViews>
    <sheetView showGridLines="0" zoomScaleNormal="100" zoomScalePageLayoutView="74" workbookViewId="0">
      <selection activeCell="H35" sqref="H35:I35"/>
    </sheetView>
  </sheetViews>
  <sheetFormatPr defaultColWidth="8.7109375" defaultRowHeight="15"/>
  <cols>
    <col min="1" max="1" width="8.7109375" style="276"/>
    <col min="2" max="2" width="7.28515625" style="276" customWidth="1"/>
    <col min="3" max="3" width="8.7109375" style="276" customWidth="1"/>
    <col min="4" max="7" width="7.28515625" style="276" customWidth="1"/>
    <col min="8" max="8" width="9.42578125" style="276" customWidth="1"/>
    <col min="9" max="9" width="8.7109375" style="276" customWidth="1"/>
    <col min="10" max="10" width="9.5703125" style="276" customWidth="1"/>
    <col min="11" max="13" width="7.28515625" style="276" customWidth="1"/>
    <col min="14" max="14" width="3.5703125" style="276" customWidth="1"/>
    <col min="15" max="15" width="10.140625" style="276" customWidth="1"/>
    <col min="16" max="16" width="19.140625" style="276" bestFit="1" customWidth="1"/>
    <col min="17" max="16384" width="8.7109375" style="276"/>
  </cols>
  <sheetData>
    <row r="1" spans="1:16">
      <c r="A1" s="273"/>
      <c r="B1" s="274"/>
      <c r="C1" s="274"/>
      <c r="D1" s="274"/>
      <c r="E1" s="274"/>
      <c r="F1" s="274"/>
      <c r="G1" s="274"/>
      <c r="H1" s="274"/>
      <c r="I1" s="274"/>
      <c r="J1" s="274"/>
      <c r="K1" s="274"/>
      <c r="L1" s="274"/>
      <c r="M1" s="274"/>
      <c r="N1" s="274"/>
      <c r="O1" s="275"/>
      <c r="P1" s="307" t="s">
        <v>1452</v>
      </c>
    </row>
    <row r="2" spans="1:16" ht="21" customHeight="1">
      <c r="A2" s="277"/>
      <c r="B2" s="494" t="s">
        <v>1398</v>
      </c>
      <c r="C2" s="494"/>
      <c r="D2" s="494"/>
      <c r="E2" s="494"/>
      <c r="F2" s="494"/>
      <c r="G2" s="494"/>
      <c r="H2" s="494"/>
      <c r="I2" s="494"/>
      <c r="J2" s="494"/>
      <c r="K2" s="494"/>
      <c r="L2" s="494"/>
      <c r="M2" s="494"/>
      <c r="O2" s="278"/>
      <c r="P2" s="309" t="s">
        <v>1453</v>
      </c>
    </row>
    <row r="3" spans="1:16" s="280" customFormat="1" ht="23.25" customHeight="1">
      <c r="A3" s="279"/>
      <c r="C3" s="281" t="s">
        <v>1399</v>
      </c>
      <c r="D3" s="506" t="str">
        <f>IF('SINGLE YEAR BOOKING SHEET'!D3=0,"",'SINGLE YEAR BOOKING SHEET'!D3)</f>
        <v/>
      </c>
      <c r="E3" s="506"/>
      <c r="F3" s="506"/>
      <c r="G3" s="506"/>
      <c r="J3" s="281" t="s">
        <v>1400</v>
      </c>
      <c r="K3" s="511" t="str">
        <f>IF('SINGLE YEAR BOOKING SHEET'!K3=0,"",'SINGLE YEAR BOOKING SHEET'!K3)</f>
        <v/>
      </c>
      <c r="L3" s="511"/>
      <c r="M3" s="511"/>
      <c r="N3" s="511"/>
      <c r="O3" s="283"/>
      <c r="P3" s="308" t="s">
        <v>1454</v>
      </c>
    </row>
    <row r="4" spans="1:16" s="280" customFormat="1" ht="23.25" customHeight="1">
      <c r="A4" s="279"/>
      <c r="C4" s="281" t="s">
        <v>1464</v>
      </c>
      <c r="D4" s="509" t="str">
        <f>IF('SINGLE YEAR BOOKING SHEET'!D4=0,"",'SINGLE YEAR BOOKING SHEET'!D4)</f>
        <v/>
      </c>
      <c r="E4" s="509"/>
      <c r="F4" s="509"/>
      <c r="G4" s="509"/>
      <c r="J4" s="281"/>
      <c r="K4"/>
      <c r="L4"/>
      <c r="M4"/>
      <c r="N4"/>
      <c r="O4" s="283"/>
      <c r="P4"/>
    </row>
    <row r="5" spans="1:16" s="280" customFormat="1" ht="18" customHeight="1">
      <c r="A5" s="279"/>
      <c r="C5" s="281" t="s">
        <v>1401</v>
      </c>
      <c r="D5" s="509" t="str">
        <f>IF('SINGLE YEAR BOOKING SHEET'!D5=0,"",'SINGLE YEAR BOOKING SHEET'!D5)</f>
        <v/>
      </c>
      <c r="E5" s="509"/>
      <c r="F5" s="509"/>
      <c r="G5" s="509"/>
      <c r="J5" s="281" t="s">
        <v>1402</v>
      </c>
      <c r="K5" s="506" t="str">
        <f>IF('SINGLE YEAR BOOKING SHEET'!K5=0,"",'SINGLE YEAR BOOKING SHEET'!K5)</f>
        <v/>
      </c>
      <c r="L5" s="506"/>
      <c r="M5" s="506"/>
      <c r="N5" s="506"/>
      <c r="O5" s="283"/>
    </row>
    <row r="6" spans="1:16" s="280" customFormat="1" ht="26.25" customHeight="1">
      <c r="A6" s="279"/>
      <c r="B6" s="510" t="s">
        <v>1403</v>
      </c>
      <c r="C6" s="510"/>
      <c r="D6" s="510"/>
      <c r="F6" s="280" t="s">
        <v>1404</v>
      </c>
      <c r="J6" s="280" t="s">
        <v>1405</v>
      </c>
      <c r="O6" s="283"/>
    </row>
    <row r="7" spans="1:16" s="280" customFormat="1" ht="21" customHeight="1">
      <c r="A7" s="279"/>
      <c r="C7" s="281" t="s">
        <v>1406</v>
      </c>
      <c r="D7" s="483" t="str">
        <f>IF('SINGLE YEAR BOOKING SHEET'!D7=0,"",'SINGLE YEAR BOOKING SHEET'!D7)</f>
        <v/>
      </c>
      <c r="E7" s="483"/>
      <c r="F7" s="483"/>
      <c r="G7" s="483"/>
      <c r="H7" s="483"/>
      <c r="I7" s="483"/>
      <c r="J7" s="483"/>
      <c r="K7" s="483"/>
      <c r="L7" s="483"/>
      <c r="M7" s="483"/>
      <c r="O7" s="283"/>
    </row>
    <row r="8" spans="1:16" s="280" customFormat="1" ht="21" customHeight="1">
      <c r="A8" s="279"/>
      <c r="B8" s="280" t="s">
        <v>1451</v>
      </c>
      <c r="C8" s="281"/>
      <c r="D8" s="286"/>
      <c r="E8" s="512" t="str">
        <f>IF('SINGLE YEAR BOOKING SHEET'!E8=0,"",'SINGLE YEAR BOOKING SHEET'!E8)</f>
        <v/>
      </c>
      <c r="F8" s="512"/>
      <c r="G8" s="512"/>
      <c r="H8" s="512"/>
      <c r="I8" s="512"/>
      <c r="J8" s="512"/>
      <c r="K8" s="512"/>
      <c r="L8" s="512"/>
      <c r="M8" s="512"/>
      <c r="O8" s="283"/>
    </row>
    <row r="9" spans="1:16" s="280" customFormat="1" ht="21" customHeight="1">
      <c r="A9" s="279"/>
      <c r="B9" s="280" t="s">
        <v>1407</v>
      </c>
      <c r="H9" s="286"/>
      <c r="I9" s="498" t="s">
        <v>1408</v>
      </c>
      <c r="J9" s="499"/>
      <c r="M9" s="286"/>
      <c r="O9" s="283"/>
    </row>
    <row r="10" spans="1:16" s="280" customFormat="1" ht="21" customHeight="1">
      <c r="A10" s="279"/>
      <c r="C10" s="281"/>
      <c r="D10" s="286"/>
      <c r="E10" s="286"/>
      <c r="F10" s="286"/>
      <c r="G10" s="286"/>
      <c r="H10" s="286"/>
      <c r="I10" s="286"/>
      <c r="J10" s="286"/>
      <c r="K10" s="286"/>
      <c r="L10" s="286"/>
      <c r="M10" s="286"/>
      <c r="O10" s="283"/>
    </row>
    <row r="11" spans="1:16" s="280" customFormat="1" ht="21" customHeight="1">
      <c r="A11" s="279"/>
      <c r="C11" s="281" t="s">
        <v>1457</v>
      </c>
      <c r="D11" s="513"/>
      <c r="E11" s="513"/>
      <c r="F11" s="286"/>
      <c r="G11" s="286"/>
      <c r="H11" s="286"/>
      <c r="I11" s="286"/>
      <c r="J11" s="286"/>
      <c r="K11" s="286"/>
      <c r="L11" s="286"/>
      <c r="M11" s="286"/>
      <c r="O11" s="283"/>
    </row>
    <row r="12" spans="1:16" s="280" customFormat="1" ht="21" customHeight="1">
      <c r="A12" s="279"/>
      <c r="B12" s="486" t="s">
        <v>1409</v>
      </c>
      <c r="C12" s="486"/>
      <c r="D12" s="496"/>
      <c r="E12" s="496"/>
      <c r="F12" s="496"/>
      <c r="G12" s="310"/>
      <c r="H12" s="288"/>
      <c r="I12" s="288" t="s">
        <v>1410</v>
      </c>
      <c r="J12" s="508" t="str">
        <f>IF($D$11="2 years",($D$12+729),(IF($D$11="3 years",(D12+1094),(IF($D$11="4 years",(D12+1460),(IF($D$11="5 years",D12+1825,"")))))))</f>
        <v/>
      </c>
      <c r="K12" s="508"/>
      <c r="L12" s="508"/>
      <c r="M12" s="508"/>
      <c r="O12" s="283"/>
    </row>
    <row r="13" spans="1:16" s="280" customFormat="1" ht="21" customHeight="1">
      <c r="A13" s="279"/>
      <c r="B13" s="280" t="s">
        <v>1411</v>
      </c>
      <c r="E13" s="507">
        <f>SUM(C15:D19)</f>
        <v>0</v>
      </c>
      <c r="F13" s="507"/>
      <c r="G13" s="282"/>
      <c r="H13" s="288"/>
      <c r="I13" s="288" t="s">
        <v>1412</v>
      </c>
      <c r="J13" s="288"/>
      <c r="K13" s="288" t="s">
        <v>1413</v>
      </c>
      <c r="L13" s="288"/>
      <c r="M13" s="288"/>
      <c r="O13" s="283"/>
    </row>
    <row r="14" spans="1:16" s="280" customFormat="1" ht="21" customHeight="1">
      <c r="A14" s="279"/>
      <c r="B14" s="280" t="s">
        <v>1414</v>
      </c>
      <c r="E14" s="290"/>
      <c r="O14" s="283"/>
    </row>
    <row r="15" spans="1:16" s="280" customFormat="1" ht="21" customHeight="1">
      <c r="A15" s="279"/>
      <c r="B15" s="291" t="s">
        <v>1415</v>
      </c>
      <c r="C15" s="503">
        <f>IF('SERVICE ESTIMATE'!E64&gt;=0.28,'SERVICE ESTIMATE'!E69,'SERVICE ESTIMATE'!E70)</f>
        <v>0</v>
      </c>
      <c r="D15" s="503"/>
      <c r="E15" s="292"/>
      <c r="F15" s="292"/>
      <c r="G15" s="292"/>
      <c r="H15" s="292"/>
      <c r="I15" s="289"/>
      <c r="J15" s="289"/>
      <c r="K15" s="289"/>
      <c r="L15" s="289"/>
      <c r="M15" s="289"/>
      <c r="O15" s="283"/>
      <c r="P15" s="314"/>
    </row>
    <row r="16" spans="1:16" s="280" customFormat="1" ht="21" customHeight="1">
      <c r="A16" s="279"/>
      <c r="B16" s="280" t="s">
        <v>1416</v>
      </c>
      <c r="C16" s="504">
        <f>C15*1.04</f>
        <v>0</v>
      </c>
      <c r="D16" s="504"/>
      <c r="E16" s="292"/>
      <c r="F16" s="292"/>
      <c r="G16" s="292"/>
      <c r="H16" s="292"/>
      <c r="I16" s="289"/>
      <c r="J16" s="289"/>
      <c r="K16" s="289"/>
      <c r="L16" s="289"/>
      <c r="M16" s="289"/>
      <c r="O16" s="283"/>
    </row>
    <row r="17" spans="1:16" s="280" customFormat="1" ht="21" customHeight="1">
      <c r="A17" s="279"/>
      <c r="B17" s="280" t="s">
        <v>1417</v>
      </c>
      <c r="C17" s="504">
        <f>IF($D$11="2 years","N/A",C16*1.04)</f>
        <v>0</v>
      </c>
      <c r="D17" s="504"/>
      <c r="E17" s="292"/>
      <c r="F17" s="292"/>
      <c r="G17" s="292"/>
      <c r="H17" s="292"/>
      <c r="I17" s="289"/>
      <c r="J17" s="289"/>
      <c r="K17" s="289"/>
      <c r="L17" s="289"/>
      <c r="M17" s="289"/>
      <c r="O17" s="283"/>
    </row>
    <row r="18" spans="1:16" s="280" customFormat="1" ht="21" customHeight="1">
      <c r="A18" s="279"/>
      <c r="B18" s="280" t="s">
        <v>1455</v>
      </c>
      <c r="C18" s="504">
        <f>IF($D$11="2 years","N/A",(IF($D$11="3 years","N/A",C17*1.04)))</f>
        <v>0</v>
      </c>
      <c r="D18" s="504"/>
      <c r="E18" s="285"/>
      <c r="F18" s="285"/>
      <c r="G18" s="285"/>
      <c r="H18" s="285"/>
      <c r="I18" s="289"/>
      <c r="J18" s="289"/>
      <c r="K18" s="289"/>
      <c r="L18" s="289"/>
      <c r="M18" s="289"/>
      <c r="O18" s="283"/>
    </row>
    <row r="19" spans="1:16" s="280" customFormat="1" ht="21" customHeight="1">
      <c r="A19" s="279"/>
      <c r="B19" s="280" t="s">
        <v>1456</v>
      </c>
      <c r="C19" s="504">
        <f>IF($D$11="2 years","N/A",(IF($D$11="3 years","N/A",IF($D$11="4 years","N/A",C18*1.04))))</f>
        <v>0</v>
      </c>
      <c r="D19" s="504"/>
      <c r="E19" s="294"/>
      <c r="F19" s="294"/>
      <c r="G19" s="294"/>
      <c r="H19" s="294"/>
      <c r="I19" s="293"/>
      <c r="J19" s="294"/>
      <c r="K19" s="294"/>
      <c r="L19" s="294"/>
      <c r="M19" s="294"/>
      <c r="O19" s="283"/>
    </row>
    <row r="20" spans="1:16" s="280" customFormat="1" ht="21" customHeight="1">
      <c r="A20" s="279"/>
      <c r="C20" s="280" t="s">
        <v>1418</v>
      </c>
      <c r="H20" s="286"/>
      <c r="J20" s="280" t="s">
        <v>1419</v>
      </c>
      <c r="K20" s="286"/>
      <c r="L20" s="286"/>
      <c r="M20" s="286"/>
      <c r="O20" s="283"/>
    </row>
    <row r="21" spans="1:16" s="280" customFormat="1" ht="21" customHeight="1">
      <c r="A21" s="279"/>
      <c r="B21" s="280" t="s">
        <v>1420</v>
      </c>
      <c r="D21" s="280" t="s">
        <v>1421</v>
      </c>
      <c r="E21" s="484">
        <f>'SERVICE ESTIMATE'!E39</f>
        <v>0</v>
      </c>
      <c r="F21" s="484"/>
      <c r="G21" s="280" t="s">
        <v>1422</v>
      </c>
      <c r="H21" s="280" t="s">
        <v>1423</v>
      </c>
      <c r="I21" s="503">
        <f>'SERVICE ESTIMATE'!E47</f>
        <v>0</v>
      </c>
      <c r="J21" s="506"/>
      <c r="M21" s="286"/>
      <c r="O21" s="283"/>
    </row>
    <row r="22" spans="1:16" s="280" customFormat="1" ht="23.25" customHeight="1">
      <c r="A22" s="279"/>
      <c r="B22" s="295" t="s">
        <v>1765</v>
      </c>
      <c r="K22" s="481"/>
      <c r="L22" s="481"/>
      <c r="M22" s="481"/>
      <c r="O22" s="283"/>
    </row>
    <row r="23" spans="1:16" s="280" customFormat="1" ht="15.75" customHeight="1">
      <c r="A23" s="279"/>
      <c r="B23" s="284" t="s">
        <v>1112</v>
      </c>
      <c r="C23" s="284" t="s">
        <v>1113</v>
      </c>
      <c r="D23" s="284" t="s">
        <v>1114</v>
      </c>
      <c r="E23" s="284" t="s">
        <v>108</v>
      </c>
      <c r="F23" s="284" t="s">
        <v>109</v>
      </c>
      <c r="G23" s="284" t="s">
        <v>110</v>
      </c>
      <c r="H23" s="284" t="s">
        <v>1424</v>
      </c>
      <c r="I23" s="284" t="s">
        <v>1116</v>
      </c>
      <c r="J23" s="284" t="s">
        <v>1425</v>
      </c>
      <c r="K23" s="284" t="s">
        <v>1118</v>
      </c>
      <c r="L23" s="284" t="s">
        <v>1426</v>
      </c>
      <c r="M23" s="284" t="s">
        <v>1120</v>
      </c>
      <c r="O23" s="283"/>
    </row>
    <row r="24" spans="1:16" s="280" customFormat="1" ht="21.75" customHeight="1">
      <c r="A24" s="279"/>
      <c r="B24" s="464">
        <f>ESTIMATE!$Q$217-B27</f>
        <v>0</v>
      </c>
      <c r="C24" s="464">
        <f>ESTIMATE!$S$217-C27</f>
        <v>0</v>
      </c>
      <c r="D24" s="464">
        <f>ESTIMATE!$U$217-D27</f>
        <v>0</v>
      </c>
      <c r="E24" s="464">
        <f>ESTIMATE!$W$217-E27</f>
        <v>0</v>
      </c>
      <c r="F24" s="464">
        <f>ESTIMATE!$Y$217-F27</f>
        <v>0</v>
      </c>
      <c r="G24" s="464">
        <f>ESTIMATE!$AA$217-G27</f>
        <v>0</v>
      </c>
      <c r="H24" s="464">
        <f>ESTIMATE!$AC$217-H27</f>
        <v>0</v>
      </c>
      <c r="I24" s="464">
        <f>ESTIMATE!$AE$217-I27</f>
        <v>0</v>
      </c>
      <c r="J24" s="464">
        <f>ESTIMATE!$AG$217-J27</f>
        <v>0</v>
      </c>
      <c r="K24" s="464">
        <f>ESTIMATE!$AI$217-K27</f>
        <v>0</v>
      </c>
      <c r="L24" s="464">
        <f>ESTIMATE!$AK$217-L27</f>
        <v>0</v>
      </c>
      <c r="M24" s="464">
        <f>ESTIMATE!$AM$217-M27</f>
        <v>0</v>
      </c>
      <c r="O24" s="283"/>
    </row>
    <row r="25" spans="1:16" s="280" customFormat="1" ht="23.25" customHeight="1">
      <c r="A25" s="279"/>
      <c r="B25" s="295" t="s">
        <v>1764</v>
      </c>
      <c r="K25" s="481"/>
      <c r="L25" s="481"/>
      <c r="M25" s="481"/>
      <c r="O25" s="283"/>
    </row>
    <row r="26" spans="1:16" s="280" customFormat="1" ht="15.75" customHeight="1">
      <c r="A26" s="279"/>
      <c r="B26" s="284" t="s">
        <v>1112</v>
      </c>
      <c r="C26" s="284" t="s">
        <v>1113</v>
      </c>
      <c r="D26" s="284" t="s">
        <v>1114</v>
      </c>
      <c r="E26" s="284" t="s">
        <v>108</v>
      </c>
      <c r="F26" s="284" t="s">
        <v>109</v>
      </c>
      <c r="G26" s="284" t="s">
        <v>110</v>
      </c>
      <c r="H26" s="284" t="s">
        <v>1424</v>
      </c>
      <c r="I26" s="284" t="s">
        <v>1116</v>
      </c>
      <c r="J26" s="284" t="s">
        <v>1425</v>
      </c>
      <c r="K26" s="284" t="s">
        <v>1118</v>
      </c>
      <c r="L26" s="284" t="s">
        <v>1426</v>
      </c>
      <c r="M26" s="284" t="s">
        <v>1120</v>
      </c>
      <c r="O26" s="465" t="s">
        <v>1766</v>
      </c>
    </row>
    <row r="27" spans="1:16" s="280" customFormat="1" ht="21.75" customHeight="1">
      <c r="A27" s="279"/>
      <c r="B27" s="313">
        <f>ESTIMATE!$Q$209</f>
        <v>0</v>
      </c>
      <c r="C27" s="313">
        <f>ESTIMATE!$S$209</f>
        <v>0</v>
      </c>
      <c r="D27" s="313">
        <f>ESTIMATE!$U$209</f>
        <v>0</v>
      </c>
      <c r="E27" s="313">
        <f>ESTIMATE!$W$209</f>
        <v>0</v>
      </c>
      <c r="F27" s="313">
        <f>ESTIMATE!$Y$209</f>
        <v>0</v>
      </c>
      <c r="G27" s="313">
        <f>ESTIMATE!$AA$209</f>
        <v>0</v>
      </c>
      <c r="H27" s="313">
        <f>ESTIMATE!$AC$209</f>
        <v>0</v>
      </c>
      <c r="I27" s="313">
        <f>ESTIMATE!$AE$209</f>
        <v>0</v>
      </c>
      <c r="J27" s="313">
        <f>ESTIMATE!$AG$209</f>
        <v>0</v>
      </c>
      <c r="K27" s="313">
        <f>ESTIMATE!$AI$209</f>
        <v>0</v>
      </c>
      <c r="L27" s="313">
        <f>ESTIMATE!$AK$209</f>
        <v>0</v>
      </c>
      <c r="M27" s="313">
        <f>ESTIMATE!$AM$209</f>
        <v>0</v>
      </c>
      <c r="O27" s="466">
        <f>SUM(B24:M24,B27:M27)</f>
        <v>0</v>
      </c>
    </row>
    <row r="28" spans="1:16" s="280" customFormat="1" ht="23.25" customHeight="1">
      <c r="A28" s="279"/>
      <c r="B28" s="295" t="s">
        <v>1427</v>
      </c>
      <c r="C28" s="288"/>
      <c r="D28" s="288"/>
      <c r="E28" s="288"/>
      <c r="F28" s="288"/>
      <c r="G28" s="288"/>
      <c r="H28" s="288"/>
      <c r="I28" s="288"/>
      <c r="J28" s="288"/>
      <c r="K28" s="288"/>
      <c r="L28" s="288"/>
      <c r="M28" s="288"/>
      <c r="O28" s="283"/>
    </row>
    <row r="29" spans="1:16" s="280" customFormat="1" ht="15.75" customHeight="1">
      <c r="A29" s="279"/>
      <c r="B29" s="284" t="s">
        <v>1112</v>
      </c>
      <c r="C29" s="284" t="s">
        <v>1113</v>
      </c>
      <c r="D29" s="284" t="s">
        <v>1114</v>
      </c>
      <c r="E29" s="284" t="s">
        <v>108</v>
      </c>
      <c r="F29" s="284" t="s">
        <v>109</v>
      </c>
      <c r="G29" s="284" t="s">
        <v>110</v>
      </c>
      <c r="H29" s="284" t="s">
        <v>1424</v>
      </c>
      <c r="I29" s="284" t="s">
        <v>1116</v>
      </c>
      <c r="J29" s="284" t="s">
        <v>1425</v>
      </c>
      <c r="K29" s="284" t="s">
        <v>1118</v>
      </c>
      <c r="L29" s="284" t="s">
        <v>1426</v>
      </c>
      <c r="M29" s="284" t="s">
        <v>1120</v>
      </c>
      <c r="O29" s="283"/>
    </row>
    <row r="30" spans="1:16" s="280" customFormat="1" ht="21.75" customHeight="1">
      <c r="A30" s="279"/>
      <c r="B30" s="296" t="str">
        <f>IF(OR(MONTH($D$12)=COLUMN()-1, MONTH(EDATE($D$12,6))=COLUMN()-1), "X", "")</f>
        <v>X</v>
      </c>
      <c r="C30" s="296" t="str">
        <f t="shared" ref="C30:M30" si="0">IF(OR(MONTH($D$12)=COLUMN()-1, MONTH(EDATE($D$12,6))=COLUMN()-1), "X", "")</f>
        <v/>
      </c>
      <c r="D30" s="296" t="str">
        <f t="shared" si="0"/>
        <v/>
      </c>
      <c r="E30" s="296" t="str">
        <f t="shared" si="0"/>
        <v/>
      </c>
      <c r="F30" s="296" t="str">
        <f t="shared" si="0"/>
        <v/>
      </c>
      <c r="G30" s="296" t="str">
        <f t="shared" si="0"/>
        <v>X</v>
      </c>
      <c r="H30" s="296" t="str">
        <f t="shared" si="0"/>
        <v/>
      </c>
      <c r="I30" s="296" t="str">
        <f t="shared" si="0"/>
        <v/>
      </c>
      <c r="J30" s="296" t="str">
        <f t="shared" si="0"/>
        <v/>
      </c>
      <c r="K30" s="296" t="str">
        <f t="shared" si="0"/>
        <v/>
      </c>
      <c r="L30" s="296" t="str">
        <f t="shared" si="0"/>
        <v/>
      </c>
      <c r="M30" s="296" t="str">
        <f t="shared" si="0"/>
        <v/>
      </c>
      <c r="O30" s="283"/>
      <c r="P30" s="314"/>
    </row>
    <row r="31" spans="1:16" s="280" customFormat="1" ht="26.25" customHeight="1">
      <c r="A31" s="279"/>
      <c r="B31" s="297" t="s">
        <v>1428</v>
      </c>
      <c r="E31" s="489"/>
      <c r="F31" s="489"/>
      <c r="G31" s="489"/>
      <c r="H31" s="489"/>
      <c r="I31" s="489"/>
      <c r="J31" s="489"/>
      <c r="K31" s="489"/>
      <c r="L31" s="489"/>
      <c r="M31" s="489"/>
      <c r="O31" s="283"/>
    </row>
    <row r="32" spans="1:16" s="280" customFormat="1" ht="21" customHeight="1">
      <c r="A32" s="279"/>
      <c r="B32" s="297" t="s">
        <v>1429</v>
      </c>
      <c r="O32" s="283"/>
    </row>
    <row r="33" spans="1:15" s="280" customFormat="1" ht="21" customHeight="1">
      <c r="A33" s="279"/>
      <c r="B33" s="297" t="s">
        <v>1430</v>
      </c>
      <c r="E33" s="280" t="s">
        <v>1431</v>
      </c>
      <c r="H33" s="280" t="s">
        <v>1432</v>
      </c>
      <c r="L33" s="280" t="s">
        <v>1433</v>
      </c>
      <c r="O33" s="283"/>
    </row>
    <row r="34" spans="1:15" s="280" customFormat="1" ht="20.25" customHeight="1">
      <c r="A34" s="279"/>
      <c r="B34" s="298"/>
      <c r="E34" s="280" t="s">
        <v>1434</v>
      </c>
      <c r="I34" s="490"/>
      <c r="J34" s="490"/>
      <c r="K34" s="490"/>
      <c r="L34" s="687" t="s">
        <v>1840</v>
      </c>
      <c r="M34" s="687"/>
      <c r="O34" s="283"/>
    </row>
    <row r="35" spans="1:15" s="297" customFormat="1" ht="18" customHeight="1">
      <c r="A35" s="299"/>
      <c r="B35" s="300"/>
      <c r="G35" s="281" t="s">
        <v>1435</v>
      </c>
      <c r="H35" s="505"/>
      <c r="I35" s="505"/>
      <c r="J35" s="301" t="s">
        <v>1436</v>
      </c>
      <c r="O35" s="302"/>
    </row>
    <row r="36" spans="1:15" s="280" customFormat="1" ht="20.25" customHeight="1">
      <c r="A36" s="279"/>
      <c r="B36" s="298"/>
      <c r="E36" s="280" t="s">
        <v>1437</v>
      </c>
      <c r="I36" s="488"/>
      <c r="J36" s="488"/>
      <c r="K36" s="488"/>
      <c r="L36" s="488"/>
      <c r="M36" s="488"/>
      <c r="O36" s="283"/>
    </row>
    <row r="37" spans="1:15" s="297" customFormat="1" ht="18" customHeight="1">
      <c r="A37" s="299"/>
      <c r="B37" s="300"/>
      <c r="G37" s="281" t="s">
        <v>1438</v>
      </c>
      <c r="H37" s="490"/>
      <c r="I37" s="490"/>
      <c r="J37" s="490"/>
      <c r="K37" s="490"/>
      <c r="L37" s="490"/>
      <c r="M37" s="490"/>
      <c r="O37" s="302"/>
    </row>
    <row r="38" spans="1:15" s="280" customFormat="1" ht="18" customHeight="1">
      <c r="A38" s="279"/>
      <c r="B38" s="298"/>
      <c r="E38" s="280" t="s">
        <v>1439</v>
      </c>
      <c r="G38" s="488"/>
      <c r="H38" s="488"/>
      <c r="I38" s="488"/>
      <c r="J38" s="488"/>
      <c r="K38" s="488"/>
      <c r="L38" s="488"/>
      <c r="M38" s="488"/>
      <c r="O38" s="283"/>
    </row>
    <row r="39" spans="1:15" s="280" customFormat="1" ht="6.75" customHeight="1">
      <c r="A39" s="279"/>
      <c r="B39" s="298"/>
      <c r="G39" s="286"/>
      <c r="H39" s="286"/>
      <c r="I39" s="286"/>
      <c r="J39" s="286"/>
      <c r="K39" s="286"/>
      <c r="L39" s="286"/>
      <c r="M39" s="286"/>
      <c r="O39" s="283"/>
    </row>
    <row r="40" spans="1:15" s="280" customFormat="1" ht="26.1" customHeight="1">
      <c r="A40" s="279"/>
      <c r="B40" s="311" t="s">
        <v>1440</v>
      </c>
      <c r="E40" s="482"/>
      <c r="F40" s="482"/>
      <c r="G40" s="482"/>
      <c r="H40" s="482"/>
      <c r="I40" s="482"/>
      <c r="J40" s="482"/>
      <c r="K40" s="482"/>
      <c r="L40" s="482"/>
      <c r="M40" s="482"/>
      <c r="O40" s="283"/>
    </row>
    <row r="41" spans="1:15" s="280" customFormat="1" ht="15.75" customHeight="1">
      <c r="A41" s="279"/>
      <c r="B41" s="291"/>
      <c r="C41" s="291"/>
      <c r="D41" s="291"/>
      <c r="E41" s="482"/>
      <c r="F41" s="482"/>
      <c r="G41" s="482"/>
      <c r="H41" s="482"/>
      <c r="I41" s="482"/>
      <c r="J41" s="482"/>
      <c r="K41" s="482"/>
      <c r="L41" s="482"/>
      <c r="M41" s="482"/>
      <c r="O41" s="283"/>
    </row>
    <row r="42" spans="1:15" s="280" customFormat="1" ht="6.75" customHeight="1">
      <c r="A42" s="279"/>
      <c r="B42" s="291"/>
      <c r="C42" s="291"/>
      <c r="D42" s="291"/>
      <c r="E42" s="303"/>
      <c r="F42" s="303"/>
      <c r="G42" s="303"/>
      <c r="H42" s="303"/>
      <c r="I42" s="303"/>
      <c r="J42" s="303"/>
      <c r="K42" s="303"/>
      <c r="L42" s="303"/>
      <c r="M42" s="303"/>
      <c r="O42" s="283"/>
    </row>
    <row r="43" spans="1:15" s="280" customFormat="1" ht="26.1" customHeight="1">
      <c r="A43" s="279"/>
      <c r="B43" s="311" t="s">
        <v>1441</v>
      </c>
      <c r="E43" s="482"/>
      <c r="F43" s="482"/>
      <c r="G43" s="482"/>
      <c r="H43" s="482"/>
      <c r="I43" s="482"/>
      <c r="J43" s="482"/>
      <c r="K43" s="482"/>
      <c r="L43" s="482"/>
      <c r="M43" s="482"/>
      <c r="O43" s="283"/>
    </row>
    <row r="44" spans="1:15" s="280" customFormat="1" ht="15.75" customHeight="1">
      <c r="A44" s="279"/>
      <c r="B44" s="291"/>
      <c r="C44" s="291"/>
      <c r="D44" s="291"/>
      <c r="E44" s="482"/>
      <c r="F44" s="482"/>
      <c r="G44" s="482"/>
      <c r="H44" s="482"/>
      <c r="I44" s="482"/>
      <c r="J44" s="482"/>
      <c r="K44" s="482"/>
      <c r="L44" s="482"/>
      <c r="M44" s="482"/>
      <c r="O44" s="283"/>
    </row>
    <row r="45" spans="1:15" s="280" customFormat="1" ht="21" customHeight="1">
      <c r="A45" s="279"/>
      <c r="C45" s="281" t="s">
        <v>1442</v>
      </c>
      <c r="D45" s="483" t="str">
        <f>$D$3</f>
        <v/>
      </c>
      <c r="E45" s="483"/>
      <c r="F45" s="483"/>
      <c r="G45" s="483"/>
      <c r="H45" s="483"/>
      <c r="I45" s="483"/>
      <c r="J45" s="483"/>
      <c r="K45" s="483"/>
      <c r="L45" s="483"/>
      <c r="M45" s="483"/>
      <c r="O45" s="283"/>
    </row>
    <row r="46" spans="1:15" ht="10.7" customHeight="1">
      <c r="A46" s="277"/>
      <c r="O46" s="278"/>
    </row>
    <row r="47" spans="1:15" ht="18.75" customHeight="1">
      <c r="A47" s="277"/>
      <c r="B47" s="486" t="s">
        <v>1443</v>
      </c>
      <c r="C47" s="486"/>
      <c r="D47" s="487"/>
      <c r="E47" s="487"/>
      <c r="F47" s="487"/>
      <c r="G47" s="487"/>
      <c r="H47" s="487"/>
      <c r="I47" s="487"/>
      <c r="J47" s="487"/>
      <c r="K47" s="487"/>
      <c r="L47" s="487"/>
      <c r="M47" s="487"/>
      <c r="O47" s="278"/>
    </row>
    <row r="48" spans="1:15" ht="15.75" thickBot="1">
      <c r="A48" s="304"/>
      <c r="B48" s="305"/>
      <c r="C48" s="305"/>
      <c r="D48" s="305" t="s">
        <v>1444</v>
      </c>
      <c r="E48" s="305"/>
      <c r="F48" s="305"/>
      <c r="G48" s="305"/>
      <c r="H48" s="305"/>
      <c r="I48" s="305"/>
      <c r="J48" s="305"/>
      <c r="K48" s="305"/>
      <c r="L48" s="305"/>
      <c r="M48" s="305"/>
      <c r="N48" s="305"/>
      <c r="O48" s="306"/>
    </row>
  </sheetData>
  <sheetProtection algorithmName="SHA-512" hashValue="+HCh/RCjvWmFG8aRjcSOgG++BF9CNBxuYrtW/s+I5378j6rlB6Fo4m1NcHIhbx60oYivETLAUSShE0BYB6Fk3w==" saltValue="kuQxYybIHnrfyZ6gl2UvkA==" spinCount="100000" sheet="1" insertHyperlinks="0" selectLockedCells="1" sort="0" autoFilter="0" pivotTables="0"/>
  <mergeCells count="35">
    <mergeCell ref="B2:M2"/>
    <mergeCell ref="D3:G3"/>
    <mergeCell ref="D5:G5"/>
    <mergeCell ref="B6:D6"/>
    <mergeCell ref="E31:M31"/>
    <mergeCell ref="I9:J9"/>
    <mergeCell ref="K3:N3"/>
    <mergeCell ref="K5:N5"/>
    <mergeCell ref="E8:M8"/>
    <mergeCell ref="D7:M7"/>
    <mergeCell ref="D11:E11"/>
    <mergeCell ref="D4:G4"/>
    <mergeCell ref="E13:F13"/>
    <mergeCell ref="B12:C12"/>
    <mergeCell ref="D12:F12"/>
    <mergeCell ref="J12:M12"/>
    <mergeCell ref="C16:D16"/>
    <mergeCell ref="C17:D17"/>
    <mergeCell ref="I34:K34"/>
    <mergeCell ref="D45:M45"/>
    <mergeCell ref="B47:C47"/>
    <mergeCell ref="D47:M47"/>
    <mergeCell ref="C15:D15"/>
    <mergeCell ref="C18:D18"/>
    <mergeCell ref="C19:D19"/>
    <mergeCell ref="E21:F21"/>
    <mergeCell ref="H35:I35"/>
    <mergeCell ref="I36:M36"/>
    <mergeCell ref="H37:M37"/>
    <mergeCell ref="G38:M38"/>
    <mergeCell ref="E40:M41"/>
    <mergeCell ref="E43:M44"/>
    <mergeCell ref="I21:J21"/>
    <mergeCell ref="K22:M22"/>
    <mergeCell ref="K25:M25"/>
  </mergeCells>
  <conditionalFormatting sqref="I9:J9">
    <cfRule type="cellIs" dxfId="15" priority="8" operator="equal">
      <formula>"Market Segment"</formula>
    </cfRule>
  </conditionalFormatting>
  <conditionalFormatting sqref="D3:G3 K3:N3 D7:M7 E8:M8 D12 H35 K5:N5 D4">
    <cfRule type="containsBlanks" dxfId="14" priority="7">
      <formula>LEN(TRIM(D3))=0</formula>
    </cfRule>
  </conditionalFormatting>
  <conditionalFormatting sqref="D45:M45">
    <cfRule type="cellIs" dxfId="13" priority="6" operator="equal">
      <formula>0</formula>
    </cfRule>
  </conditionalFormatting>
  <conditionalFormatting sqref="D5:G5">
    <cfRule type="containsBlanks" dxfId="12" priority="5">
      <formula>LEN(TRIM(D5))=0</formula>
    </cfRule>
  </conditionalFormatting>
  <conditionalFormatting sqref="D11">
    <cfRule type="containsBlanks" dxfId="11" priority="4">
      <formula>LEN(TRIM(D11))=0</formula>
    </cfRule>
  </conditionalFormatting>
  <conditionalFormatting sqref="B24 B27:M27">
    <cfRule type="cellIs" dxfId="10" priority="3" operator="equal">
      <formula>0</formula>
    </cfRule>
  </conditionalFormatting>
  <conditionalFormatting sqref="C24:M24">
    <cfRule type="cellIs" dxfId="9" priority="2" operator="equal">
      <formula>0</formula>
    </cfRule>
  </conditionalFormatting>
  <conditionalFormatting sqref="I34">
    <cfRule type="containsBlanks" dxfId="8" priority="1">
      <formula>LEN(TRIM(I34))=0</formula>
    </cfRule>
  </conditionalFormatting>
  <dataValidations count="3">
    <dataValidation type="list" allowBlank="1" showInputMessage="1" showErrorMessage="1" sqref="I9:J9" xr:uid="{D6D34B95-69E3-45E6-9D91-ED38448E9F48}">
      <formula1>"Market Segment,Bank,Commercial,Education,Gaming,Government,Healthcare,Hitech,Hospitality,Indirect/Other,Industrial,Power,Religious,Residential-Less than 5 stories,Residential-5 or More stories,Restaurant/Retail,Transportation"</formula1>
    </dataValidation>
    <dataValidation type="list" allowBlank="1" showInputMessage="1" showErrorMessage="1" sqref="H35:I35" xr:uid="{2CA8DA43-A45F-45C1-B97F-9FED5F267008}">
      <formula1>"Standard Rate,Preferred Rate"</formula1>
    </dataValidation>
    <dataValidation type="list" allowBlank="1" showInputMessage="1" showErrorMessage="1" sqref="D11:E11" xr:uid="{4B083181-1087-4FE3-BBBF-54237A6D3CF3}">
      <formula1>"2 years,3 years,4 years,5 years"</formula1>
    </dataValidation>
  </dataValidations>
  <printOptions horizontalCentered="1"/>
  <pageMargins left="0.66929133858267698" right="0.70866141732283505" top="0.43307086614173201" bottom="0.18" header="0.31496062992126" footer="0.18"/>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1</xdr:col>
                    <xdr:colOff>0</xdr:colOff>
                    <xdr:row>5</xdr:row>
                    <xdr:rowOff>142875</xdr:rowOff>
                  </from>
                  <to>
                    <xdr:col>1</xdr:col>
                    <xdr:colOff>304800</xdr:colOff>
                    <xdr:row>6</xdr:row>
                    <xdr:rowOff>19050</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1</xdr:col>
                    <xdr:colOff>0</xdr:colOff>
                    <xdr:row>31</xdr:row>
                    <xdr:rowOff>66675</xdr:rowOff>
                  </from>
                  <to>
                    <xdr:col>1</xdr:col>
                    <xdr:colOff>304800</xdr:colOff>
                    <xdr:row>32</xdr:row>
                    <xdr:rowOff>19050</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1</xdr:col>
                    <xdr:colOff>0</xdr:colOff>
                    <xdr:row>30</xdr:row>
                    <xdr:rowOff>142875</xdr:rowOff>
                  </from>
                  <to>
                    <xdr:col>1</xdr:col>
                    <xdr:colOff>304800</xdr:colOff>
                    <xdr:row>31</xdr:row>
                    <xdr:rowOff>28575</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1</xdr:col>
                    <xdr:colOff>0</xdr:colOff>
                    <xdr:row>32</xdr:row>
                    <xdr:rowOff>57150</xdr:rowOff>
                  </from>
                  <to>
                    <xdr:col>1</xdr:col>
                    <xdr:colOff>304800</xdr:colOff>
                    <xdr:row>33</xdr:row>
                    <xdr:rowOff>9525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1</xdr:col>
                    <xdr:colOff>0</xdr:colOff>
                    <xdr:row>38</xdr:row>
                    <xdr:rowOff>76200</xdr:rowOff>
                  </from>
                  <to>
                    <xdr:col>1</xdr:col>
                    <xdr:colOff>304800</xdr:colOff>
                    <xdr:row>40</xdr:row>
                    <xdr:rowOff>0</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1</xdr:col>
                    <xdr:colOff>0</xdr:colOff>
                    <xdr:row>41</xdr:row>
                    <xdr:rowOff>76200</xdr:rowOff>
                  </from>
                  <to>
                    <xdr:col>1</xdr:col>
                    <xdr:colOff>304800</xdr:colOff>
                    <xdr:row>43</xdr:row>
                    <xdr:rowOff>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xdr:col>
                    <xdr:colOff>304800</xdr:colOff>
                    <xdr:row>37</xdr:row>
                    <xdr:rowOff>0</xdr:rowOff>
                  </from>
                  <to>
                    <xdr:col>4</xdr:col>
                    <xdr:colOff>123825</xdr:colOff>
                    <xdr:row>37</xdr:row>
                    <xdr:rowOff>219075</xdr:rowOff>
                  </to>
                </anchor>
              </controlPr>
            </control>
          </mc:Choice>
        </mc:AlternateContent>
        <mc:AlternateContent xmlns:mc="http://schemas.openxmlformats.org/markup-compatibility/2006">
          <mc:Choice Requires="x14">
            <control shapeId="8200" r:id="rId11" name="Check Box 8">
              <controlPr defaultSize="0" autoFill="0" autoLine="0" autoPict="0">
                <anchor moveWithCells="1">
                  <from>
                    <xdr:col>3</xdr:col>
                    <xdr:colOff>304800</xdr:colOff>
                    <xdr:row>37</xdr:row>
                    <xdr:rowOff>0</xdr:rowOff>
                  </from>
                  <to>
                    <xdr:col>4</xdr:col>
                    <xdr:colOff>123825</xdr:colOff>
                    <xdr:row>37</xdr:row>
                    <xdr:rowOff>219075</xdr:rowOff>
                  </to>
                </anchor>
              </controlPr>
            </control>
          </mc:Choice>
        </mc:AlternateContent>
        <mc:AlternateContent xmlns:mc="http://schemas.openxmlformats.org/markup-compatibility/2006">
          <mc:Choice Requires="x14">
            <control shapeId="8201" r:id="rId12" name="Check Box 9">
              <controlPr defaultSize="0" autoFill="0" autoLine="0" autoPict="0">
                <anchor moveWithCells="1">
                  <from>
                    <xdr:col>4</xdr:col>
                    <xdr:colOff>304800</xdr:colOff>
                    <xdr:row>5</xdr:row>
                    <xdr:rowOff>142875</xdr:rowOff>
                  </from>
                  <to>
                    <xdr:col>5</xdr:col>
                    <xdr:colOff>123825</xdr:colOff>
                    <xdr:row>6</xdr:row>
                    <xdr:rowOff>19050</xdr:rowOff>
                  </to>
                </anchor>
              </controlPr>
            </control>
          </mc:Choice>
        </mc:AlternateContent>
        <mc:AlternateContent xmlns:mc="http://schemas.openxmlformats.org/markup-compatibility/2006">
          <mc:Choice Requires="x14">
            <control shapeId="8202" r:id="rId13" name="Check Box 10">
              <controlPr defaultSize="0" autoFill="0" autoLine="0" autoPict="0">
                <anchor moveWithCells="1">
                  <from>
                    <xdr:col>3</xdr:col>
                    <xdr:colOff>304800</xdr:colOff>
                    <xdr:row>33</xdr:row>
                    <xdr:rowOff>47625</xdr:rowOff>
                  </from>
                  <to>
                    <xdr:col>4</xdr:col>
                    <xdr:colOff>123825</xdr:colOff>
                    <xdr:row>34</xdr:row>
                    <xdr:rowOff>9525</xdr:rowOff>
                  </to>
                </anchor>
              </controlPr>
            </control>
          </mc:Choice>
        </mc:AlternateContent>
        <mc:AlternateContent xmlns:mc="http://schemas.openxmlformats.org/markup-compatibility/2006">
          <mc:Choice Requires="x14">
            <control shapeId="8203" r:id="rId14" name="Check Box 11">
              <controlPr defaultSize="0" autoFill="0" autoLine="0" autoPict="0">
                <anchor moveWithCells="1">
                  <from>
                    <xdr:col>3</xdr:col>
                    <xdr:colOff>304800</xdr:colOff>
                    <xdr:row>35</xdr:row>
                    <xdr:rowOff>47625</xdr:rowOff>
                  </from>
                  <to>
                    <xdr:col>4</xdr:col>
                    <xdr:colOff>123825</xdr:colOff>
                    <xdr:row>36</xdr:row>
                    <xdr:rowOff>9525</xdr:rowOff>
                  </to>
                </anchor>
              </controlPr>
            </control>
          </mc:Choice>
        </mc:AlternateContent>
        <mc:AlternateContent xmlns:mc="http://schemas.openxmlformats.org/markup-compatibility/2006">
          <mc:Choice Requires="x14">
            <control shapeId="8204" r:id="rId15" name="Check Box 12">
              <controlPr defaultSize="0" autoFill="0" autoLine="0" autoPict="0">
                <anchor moveWithCells="1">
                  <from>
                    <xdr:col>8</xdr:col>
                    <xdr:colOff>295275</xdr:colOff>
                    <xdr:row>5</xdr:row>
                    <xdr:rowOff>152400</xdr:rowOff>
                  </from>
                  <to>
                    <xdr:col>9</xdr:col>
                    <xdr:colOff>19050</xdr:colOff>
                    <xdr:row>6</xdr:row>
                    <xdr:rowOff>38100</xdr:rowOff>
                  </to>
                </anchor>
              </controlPr>
            </control>
          </mc:Choice>
        </mc:AlternateContent>
        <mc:AlternateContent xmlns:mc="http://schemas.openxmlformats.org/markup-compatibility/2006">
          <mc:Choice Requires="x14">
            <control shapeId="8205" r:id="rId16" name="Check Box 13">
              <controlPr defaultSize="0" autoFill="0" autoLine="0" autoPict="0">
                <anchor moveWithCells="1">
                  <from>
                    <xdr:col>3</xdr:col>
                    <xdr:colOff>304800</xdr:colOff>
                    <xdr:row>37</xdr:row>
                    <xdr:rowOff>0</xdr:rowOff>
                  </from>
                  <to>
                    <xdr:col>4</xdr:col>
                    <xdr:colOff>123825</xdr:colOff>
                    <xdr:row>37</xdr:row>
                    <xdr:rowOff>219075</xdr:rowOff>
                  </to>
                </anchor>
              </controlPr>
            </control>
          </mc:Choice>
        </mc:AlternateContent>
        <mc:AlternateContent xmlns:mc="http://schemas.openxmlformats.org/markup-compatibility/2006">
          <mc:Choice Requires="x14">
            <control shapeId="8206" r:id="rId17" name="Check Box 14">
              <controlPr defaultSize="0" autoFill="0" autoLine="0" autoPict="0">
                <anchor moveWithCells="1">
                  <from>
                    <xdr:col>1</xdr:col>
                    <xdr:colOff>304800</xdr:colOff>
                    <xdr:row>19</xdr:row>
                    <xdr:rowOff>76200</xdr:rowOff>
                  </from>
                  <to>
                    <xdr:col>2</xdr:col>
                    <xdr:colOff>123825</xdr:colOff>
                    <xdr:row>20</xdr:row>
                    <xdr:rowOff>19050</xdr:rowOff>
                  </to>
                </anchor>
              </controlPr>
            </control>
          </mc:Choice>
        </mc:AlternateContent>
        <mc:AlternateContent xmlns:mc="http://schemas.openxmlformats.org/markup-compatibility/2006">
          <mc:Choice Requires="x14">
            <control shapeId="8207" r:id="rId18" name="Check Box 15">
              <controlPr defaultSize="0" autoFill="0" autoLine="0" autoPict="0">
                <anchor moveWithCells="1">
                  <from>
                    <xdr:col>8</xdr:col>
                    <xdr:colOff>304800</xdr:colOff>
                    <xdr:row>19</xdr:row>
                    <xdr:rowOff>76200</xdr:rowOff>
                  </from>
                  <to>
                    <xdr:col>9</xdr:col>
                    <xdr:colOff>28575</xdr:colOff>
                    <xdr:row>20</xdr:row>
                    <xdr:rowOff>19050</xdr:rowOff>
                  </to>
                </anchor>
              </controlPr>
            </control>
          </mc:Choice>
        </mc:AlternateContent>
        <mc:AlternateContent xmlns:mc="http://schemas.openxmlformats.org/markup-compatibility/2006">
          <mc:Choice Requires="x14">
            <control shapeId="8208" r:id="rId19" name="Check Box 16">
              <controlPr defaultSize="0" autoFill="0" autoLine="0" autoPict="0">
                <anchor moveWithCells="1">
                  <from>
                    <xdr:col>3</xdr:col>
                    <xdr:colOff>314325</xdr:colOff>
                    <xdr:row>32</xdr:row>
                    <xdr:rowOff>19050</xdr:rowOff>
                  </from>
                  <to>
                    <xdr:col>4</xdr:col>
                    <xdr:colOff>85725</xdr:colOff>
                    <xdr:row>33</xdr:row>
                    <xdr:rowOff>9525</xdr:rowOff>
                  </to>
                </anchor>
              </controlPr>
            </control>
          </mc:Choice>
        </mc:AlternateContent>
        <mc:AlternateContent xmlns:mc="http://schemas.openxmlformats.org/markup-compatibility/2006">
          <mc:Choice Requires="x14">
            <control shapeId="8209" r:id="rId20" name="Check Box 17">
              <controlPr defaultSize="0" autoFill="0" autoLine="0" autoPict="0">
                <anchor moveWithCells="1">
                  <from>
                    <xdr:col>7</xdr:col>
                    <xdr:colOff>104775</xdr:colOff>
                    <xdr:row>32</xdr:row>
                    <xdr:rowOff>57150</xdr:rowOff>
                  </from>
                  <to>
                    <xdr:col>7</xdr:col>
                    <xdr:colOff>333375</xdr:colOff>
                    <xdr:row>33</xdr:row>
                    <xdr:rowOff>9525</xdr:rowOff>
                  </to>
                </anchor>
              </controlPr>
            </control>
          </mc:Choice>
        </mc:AlternateContent>
        <mc:AlternateContent xmlns:mc="http://schemas.openxmlformats.org/markup-compatibility/2006">
          <mc:Choice Requires="x14">
            <control shapeId="8210" r:id="rId21" name="Check Box 18">
              <controlPr defaultSize="0" autoFill="0" autoLine="0" autoPict="0">
                <anchor moveWithCells="1">
                  <from>
                    <xdr:col>10</xdr:col>
                    <xdr:colOff>295275</xdr:colOff>
                    <xdr:row>32</xdr:row>
                    <xdr:rowOff>47625</xdr:rowOff>
                  </from>
                  <to>
                    <xdr:col>11</xdr:col>
                    <xdr:colOff>114300</xdr:colOff>
                    <xdr:row>33</xdr:row>
                    <xdr:rowOff>0</xdr:rowOff>
                  </to>
                </anchor>
              </controlPr>
            </control>
          </mc:Choice>
        </mc:AlternateContent>
        <mc:AlternateContent xmlns:mc="http://schemas.openxmlformats.org/markup-compatibility/2006">
          <mc:Choice Requires="x14">
            <control shapeId="8211" r:id="rId22" name="Check Box 19">
              <controlPr defaultSize="0" autoFill="0" autoLine="0" autoPict="0">
                <anchor moveWithCells="1">
                  <from>
                    <xdr:col>2</xdr:col>
                    <xdr:colOff>495300</xdr:colOff>
                    <xdr:row>8</xdr:row>
                    <xdr:rowOff>66675</xdr:rowOff>
                  </from>
                  <to>
                    <xdr:col>3</xdr:col>
                    <xdr:colOff>219075</xdr:colOff>
                    <xdr:row>9</xdr:row>
                    <xdr:rowOff>9525</xdr:rowOff>
                  </to>
                </anchor>
              </controlPr>
            </control>
          </mc:Choice>
        </mc:AlternateContent>
        <mc:AlternateContent xmlns:mc="http://schemas.openxmlformats.org/markup-compatibility/2006">
          <mc:Choice Requires="x14">
            <control shapeId="8212" r:id="rId23" name="Check Box 20">
              <controlPr defaultSize="0" autoFill="0" autoLine="0" autoPict="0">
                <anchor moveWithCells="1">
                  <from>
                    <xdr:col>7</xdr:col>
                    <xdr:colOff>266700</xdr:colOff>
                    <xdr:row>12</xdr:row>
                    <xdr:rowOff>66675</xdr:rowOff>
                  </from>
                  <to>
                    <xdr:col>7</xdr:col>
                    <xdr:colOff>571500</xdr:colOff>
                    <xdr:row>13</xdr:row>
                    <xdr:rowOff>9525</xdr:rowOff>
                  </to>
                </anchor>
              </controlPr>
            </control>
          </mc:Choice>
        </mc:AlternateContent>
        <mc:AlternateContent xmlns:mc="http://schemas.openxmlformats.org/markup-compatibility/2006">
          <mc:Choice Requires="x14">
            <control shapeId="8213" r:id="rId24" name="Check Box 21">
              <controlPr defaultSize="0" autoFill="0" autoLine="0" autoPict="0">
                <anchor moveWithCells="1">
                  <from>
                    <xdr:col>9</xdr:col>
                    <xdr:colOff>285750</xdr:colOff>
                    <xdr:row>12</xdr:row>
                    <xdr:rowOff>66675</xdr:rowOff>
                  </from>
                  <to>
                    <xdr:col>9</xdr:col>
                    <xdr:colOff>590550</xdr:colOff>
                    <xdr:row>13</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E57E3-D201-46A7-893D-18E044A9645B}">
  <sheetPr codeName="Sheet16">
    <tabColor rgb="FFFF0000"/>
  </sheetPr>
  <dimension ref="A2:X54"/>
  <sheetViews>
    <sheetView topLeftCell="A20" zoomScaleNormal="100" workbookViewId="0">
      <selection activeCell="C35" sqref="C35:D35"/>
    </sheetView>
  </sheetViews>
  <sheetFormatPr defaultColWidth="9.140625" defaultRowHeight="15"/>
  <cols>
    <col min="1" max="9" width="9.140625" style="135"/>
    <col min="10" max="10" width="10.7109375" style="135" customWidth="1"/>
    <col min="11" max="11" width="15.42578125" style="135" customWidth="1"/>
    <col min="12" max="16384" width="9.140625" style="135"/>
  </cols>
  <sheetData>
    <row r="2" spans="1:18" ht="15.75" thickBot="1"/>
    <row r="3" spans="1:18" ht="23.25">
      <c r="A3" s="525" t="s">
        <v>1397</v>
      </c>
      <c r="B3" s="526"/>
      <c r="C3" s="526"/>
      <c r="D3" s="526"/>
      <c r="E3" s="526"/>
      <c r="F3" s="526"/>
      <c r="G3" s="526"/>
      <c r="H3" s="526"/>
      <c r="I3" s="526"/>
      <c r="J3" s="526"/>
      <c r="K3" s="526"/>
      <c r="L3" s="526"/>
      <c r="M3" s="526"/>
      <c r="N3" s="526"/>
      <c r="O3" s="527"/>
    </row>
    <row r="4" spans="1:18" ht="16.5" thickBot="1">
      <c r="A4" s="528" t="s">
        <v>1056</v>
      </c>
      <c r="B4" s="529"/>
      <c r="C4" s="530"/>
      <c r="D4" s="530"/>
      <c r="E4" s="530"/>
      <c r="F4" s="530"/>
      <c r="G4" s="530"/>
      <c r="H4" s="530"/>
      <c r="I4" s="529"/>
      <c r="J4" s="529"/>
      <c r="K4" s="529"/>
      <c r="L4" s="529"/>
      <c r="M4" s="529"/>
      <c r="N4" s="529"/>
      <c r="O4" s="531"/>
      <c r="Q4" s="179"/>
      <c r="R4" s="135" t="s">
        <v>1170</v>
      </c>
    </row>
    <row r="5" spans="1:18" ht="20.100000000000001" customHeight="1">
      <c r="A5" s="532" t="s">
        <v>1057</v>
      </c>
      <c r="B5" s="533" t="s">
        <v>1058</v>
      </c>
      <c r="C5" s="534"/>
      <c r="D5" s="534"/>
      <c r="E5" s="534"/>
      <c r="F5" s="534"/>
      <c r="G5" s="534"/>
      <c r="H5" s="535"/>
      <c r="I5" s="532" t="s">
        <v>1059</v>
      </c>
      <c r="J5" s="536"/>
      <c r="K5" s="537"/>
      <c r="L5" s="538"/>
      <c r="M5" s="538"/>
      <c r="N5" s="538"/>
      <c r="O5" s="539"/>
    </row>
    <row r="6" spans="1:18" ht="20.100000000000001" customHeight="1">
      <c r="A6" s="514" t="s">
        <v>1060</v>
      </c>
      <c r="B6" s="515" t="s">
        <v>1061</v>
      </c>
      <c r="C6" s="516"/>
      <c r="D6" s="516"/>
      <c r="E6" s="516"/>
      <c r="F6" s="516"/>
      <c r="G6" s="516"/>
      <c r="H6" s="517"/>
      <c r="I6" s="514" t="s">
        <v>1062</v>
      </c>
      <c r="J6" s="515"/>
      <c r="K6" s="518"/>
      <c r="L6" s="518"/>
      <c r="M6" s="518"/>
      <c r="N6" s="518"/>
      <c r="O6" s="519"/>
    </row>
    <row r="7" spans="1:18" ht="20.100000000000001" customHeight="1">
      <c r="A7" s="520" t="s">
        <v>1063</v>
      </c>
      <c r="B7" s="521" t="s">
        <v>1064</v>
      </c>
      <c r="C7" s="522"/>
      <c r="D7" s="522"/>
      <c r="E7" s="522"/>
      <c r="F7" s="522"/>
      <c r="G7" s="522"/>
      <c r="H7" s="523"/>
      <c r="I7" s="514" t="s">
        <v>1065</v>
      </c>
      <c r="J7" s="515"/>
      <c r="K7" s="522"/>
      <c r="L7" s="522"/>
      <c r="M7" s="522"/>
      <c r="N7" s="522"/>
      <c r="O7" s="524"/>
    </row>
    <row r="8" spans="1:18" ht="20.100000000000001" customHeight="1">
      <c r="A8" s="514" t="s">
        <v>1066</v>
      </c>
      <c r="B8" s="515" t="s">
        <v>1064</v>
      </c>
      <c r="C8" s="516" t="s">
        <v>1159</v>
      </c>
      <c r="D8" s="516"/>
      <c r="E8" s="516"/>
      <c r="F8" s="516"/>
      <c r="G8" s="516"/>
      <c r="H8" s="517"/>
      <c r="I8" s="520" t="s">
        <v>1068</v>
      </c>
      <c r="J8" s="521"/>
      <c r="K8" s="522"/>
      <c r="L8" s="522"/>
      <c r="M8" s="522"/>
      <c r="N8" s="522"/>
      <c r="O8" s="524"/>
    </row>
    <row r="9" spans="1:18" ht="20.100000000000001" customHeight="1">
      <c r="A9" s="549" t="s">
        <v>1069</v>
      </c>
      <c r="B9" s="550"/>
      <c r="C9" s="123"/>
      <c r="D9" s="249" t="s">
        <v>1070</v>
      </c>
      <c r="E9" s="123"/>
      <c r="F9" s="180"/>
      <c r="G9" s="180"/>
      <c r="H9" s="181"/>
      <c r="I9" s="551" t="s">
        <v>1071</v>
      </c>
      <c r="J9" s="552"/>
      <c r="K9" s="553"/>
      <c r="L9" s="554"/>
      <c r="M9" s="554"/>
      <c r="N9" s="554"/>
      <c r="O9" s="555"/>
    </row>
    <row r="10" spans="1:18" ht="20.100000000000001" customHeight="1">
      <c r="A10" s="182"/>
      <c r="B10" s="183"/>
      <c r="C10" s="184"/>
      <c r="D10" s="184"/>
      <c r="E10" s="184"/>
      <c r="F10" s="180"/>
      <c r="G10" s="180"/>
      <c r="H10" s="181"/>
      <c r="I10" s="180"/>
      <c r="J10" s="185"/>
      <c r="K10" s="186"/>
      <c r="L10" s="186"/>
      <c r="M10" s="186"/>
      <c r="N10" s="186"/>
      <c r="O10" s="187"/>
    </row>
    <row r="11" spans="1:18" ht="20.100000000000001" customHeight="1">
      <c r="A11" s="540" t="s">
        <v>1072</v>
      </c>
      <c r="B11" s="541"/>
      <c r="C11" s="541"/>
      <c r="D11" s="541"/>
      <c r="E11" s="541"/>
      <c r="F11" s="541"/>
      <c r="G11" s="541"/>
      <c r="H11" s="541"/>
      <c r="I11" s="541"/>
      <c r="J11" s="541"/>
      <c r="K11" s="541"/>
      <c r="L11" s="541"/>
      <c r="M11" s="541"/>
      <c r="N11" s="541"/>
      <c r="O11" s="542"/>
    </row>
    <row r="12" spans="1:18" ht="20.100000000000001" customHeight="1">
      <c r="A12" s="188"/>
      <c r="B12" s="250" t="s">
        <v>1073</v>
      </c>
      <c r="C12" s="251"/>
      <c r="D12" s="251"/>
      <c r="E12" s="124"/>
      <c r="F12" s="253" t="s">
        <v>1074</v>
      </c>
      <c r="G12" s="252"/>
      <c r="H12" s="252"/>
      <c r="I12" s="125"/>
      <c r="J12" s="543" t="s">
        <v>1075</v>
      </c>
      <c r="K12" s="544"/>
      <c r="L12" s="545"/>
      <c r="M12" s="189"/>
      <c r="N12" s="189"/>
      <c r="O12" s="190"/>
    </row>
    <row r="13" spans="1:18" ht="20.100000000000001" customHeight="1">
      <c r="A13" s="191"/>
      <c r="B13" s="543" t="s">
        <v>1076</v>
      </c>
      <c r="C13" s="544"/>
      <c r="D13" s="545"/>
      <c r="E13" s="125" t="s">
        <v>1007</v>
      </c>
      <c r="F13" s="544" t="s">
        <v>1077</v>
      </c>
      <c r="G13" s="544"/>
      <c r="H13" s="545"/>
      <c r="I13" s="125"/>
      <c r="J13" s="546" t="s">
        <v>1078</v>
      </c>
      <c r="K13" s="547"/>
      <c r="L13" s="548"/>
      <c r="M13" s="141"/>
      <c r="N13" s="141"/>
      <c r="O13" s="192"/>
    </row>
    <row r="14" spans="1:18" ht="20.100000000000001" customHeight="1">
      <c r="A14" s="191"/>
      <c r="B14" s="543" t="s">
        <v>1079</v>
      </c>
      <c r="C14" s="544"/>
      <c r="D14" s="545"/>
      <c r="E14" s="125"/>
      <c r="F14" s="544" t="s">
        <v>1080</v>
      </c>
      <c r="G14" s="544"/>
      <c r="H14" s="544"/>
      <c r="I14" s="125"/>
      <c r="J14" s="547" t="s">
        <v>1081</v>
      </c>
      <c r="K14" s="547"/>
      <c r="L14" s="548"/>
      <c r="M14" s="141"/>
      <c r="N14" s="141"/>
      <c r="O14" s="192"/>
    </row>
    <row r="15" spans="1:18" ht="20.100000000000001" customHeight="1">
      <c r="A15" s="188" t="s">
        <v>1007</v>
      </c>
      <c r="B15" s="543" t="s">
        <v>1082</v>
      </c>
      <c r="C15" s="544"/>
      <c r="D15" s="545"/>
      <c r="E15" s="126" t="s">
        <v>1007</v>
      </c>
      <c r="F15" s="564" t="s">
        <v>1083</v>
      </c>
      <c r="G15" s="564"/>
      <c r="H15" s="564"/>
      <c r="I15" s="126"/>
      <c r="J15" s="565" t="s">
        <v>1084</v>
      </c>
      <c r="K15" s="564"/>
      <c r="L15" s="566"/>
      <c r="M15" s="193"/>
      <c r="N15" s="567"/>
      <c r="O15" s="568"/>
    </row>
    <row r="16" spans="1:18" ht="20.100000000000001" customHeight="1">
      <c r="A16" s="569" t="s">
        <v>1085</v>
      </c>
      <c r="B16" s="570"/>
      <c r="C16" s="570"/>
      <c r="D16" s="570"/>
      <c r="E16" s="570"/>
      <c r="F16" s="570"/>
      <c r="G16" s="570"/>
      <c r="H16" s="570"/>
      <c r="I16" s="571"/>
      <c r="J16" s="571"/>
      <c r="K16" s="570"/>
      <c r="L16" s="570"/>
      <c r="M16" s="570"/>
      <c r="N16" s="570"/>
      <c r="O16" s="572"/>
    </row>
    <row r="17" spans="1:15" ht="20.100000000000001" customHeight="1">
      <c r="A17" s="573" t="s">
        <v>1086</v>
      </c>
      <c r="B17" s="533"/>
      <c r="C17" s="557"/>
      <c r="D17" s="558"/>
      <c r="E17" s="558"/>
      <c r="F17" s="558"/>
      <c r="G17" s="558"/>
      <c r="H17" s="559"/>
      <c r="I17" s="574" t="s">
        <v>1087</v>
      </c>
      <c r="J17" s="575"/>
      <c r="K17" s="575"/>
      <c r="L17" s="575"/>
      <c r="M17" s="575"/>
      <c r="N17" s="575"/>
      <c r="O17" s="576"/>
    </row>
    <row r="18" spans="1:15" ht="20.100000000000001" customHeight="1">
      <c r="A18" s="556" t="s">
        <v>1088</v>
      </c>
      <c r="B18" s="521" t="s">
        <v>1089</v>
      </c>
      <c r="C18" s="557"/>
      <c r="D18" s="558"/>
      <c r="E18" s="558"/>
      <c r="F18" s="558"/>
      <c r="G18" s="558"/>
      <c r="H18" s="559"/>
      <c r="I18" s="560"/>
      <c r="J18" s="561"/>
      <c r="K18" s="561"/>
      <c r="L18" s="561"/>
      <c r="M18" s="561"/>
      <c r="N18" s="561"/>
      <c r="O18" s="562"/>
    </row>
    <row r="19" spans="1:15" ht="20.100000000000001" customHeight="1">
      <c r="A19" s="556" t="s">
        <v>1090</v>
      </c>
      <c r="B19" s="521"/>
      <c r="C19" s="559"/>
      <c r="D19" s="563"/>
      <c r="E19" s="563"/>
      <c r="F19" s="563"/>
      <c r="G19" s="563"/>
      <c r="H19" s="557"/>
      <c r="I19" s="560"/>
      <c r="J19" s="561"/>
      <c r="K19" s="561"/>
      <c r="L19" s="561"/>
      <c r="M19" s="561"/>
      <c r="N19" s="561"/>
      <c r="O19" s="562"/>
    </row>
    <row r="20" spans="1:15" ht="20.100000000000001" customHeight="1">
      <c r="A20" s="586" t="s">
        <v>1091</v>
      </c>
      <c r="B20" s="587"/>
      <c r="C20" s="557"/>
      <c r="D20" s="558"/>
      <c r="E20" s="558"/>
      <c r="F20" s="558"/>
      <c r="G20" s="558"/>
      <c r="H20" s="559"/>
      <c r="I20" s="560"/>
      <c r="J20" s="561"/>
      <c r="K20" s="561"/>
      <c r="L20" s="561"/>
      <c r="M20" s="561"/>
      <c r="N20" s="561"/>
      <c r="O20" s="562"/>
    </row>
    <row r="21" spans="1:15" ht="20.100000000000001" customHeight="1">
      <c r="A21" s="586" t="s">
        <v>1092</v>
      </c>
      <c r="B21" s="587"/>
      <c r="C21" s="588"/>
      <c r="D21" s="588"/>
      <c r="E21" s="588"/>
      <c r="F21" s="588"/>
      <c r="G21" s="588"/>
      <c r="H21" s="588"/>
      <c r="I21" s="560"/>
      <c r="J21" s="561"/>
      <c r="K21" s="561"/>
      <c r="L21" s="561"/>
      <c r="M21" s="561"/>
      <c r="N21" s="561"/>
      <c r="O21" s="562"/>
    </row>
    <row r="22" spans="1:15" ht="20.100000000000001" customHeight="1">
      <c r="A22" s="577" t="s">
        <v>1093</v>
      </c>
      <c r="B22" s="578"/>
      <c r="C22" s="557"/>
      <c r="D22" s="558"/>
      <c r="E22" s="558"/>
      <c r="F22" s="558"/>
      <c r="G22" s="558"/>
      <c r="H22" s="559"/>
      <c r="I22" s="560"/>
      <c r="J22" s="561"/>
      <c r="K22" s="561"/>
      <c r="L22" s="561"/>
      <c r="M22" s="561"/>
      <c r="N22" s="561"/>
      <c r="O22" s="562"/>
    </row>
    <row r="23" spans="1:15">
      <c r="A23" s="579"/>
      <c r="B23" s="580"/>
      <c r="C23" s="194"/>
      <c r="D23" s="194"/>
      <c r="E23" s="194"/>
      <c r="F23" s="194"/>
      <c r="G23" s="195"/>
      <c r="H23" s="195"/>
      <c r="I23" s="581"/>
      <c r="J23" s="582"/>
      <c r="K23" s="582"/>
      <c r="L23" s="582"/>
      <c r="M23" s="582"/>
      <c r="N23" s="582"/>
      <c r="O23" s="583"/>
    </row>
    <row r="24" spans="1:15" ht="20.100000000000001" customHeight="1">
      <c r="A24" s="196" t="s">
        <v>1094</v>
      </c>
      <c r="B24" s="254"/>
      <c r="C24" s="197"/>
      <c r="D24" s="197"/>
      <c r="E24" s="197"/>
      <c r="F24" s="197"/>
      <c r="G24" s="197"/>
      <c r="H24" s="197"/>
      <c r="I24" s="523"/>
      <c r="J24" s="584"/>
      <c r="K24" s="584"/>
      <c r="L24" s="584"/>
      <c r="M24" s="584"/>
      <c r="N24" s="584"/>
      <c r="O24" s="585"/>
    </row>
    <row r="25" spans="1:15" ht="20.100000000000001" customHeight="1">
      <c r="A25" s="532" t="s">
        <v>1086</v>
      </c>
      <c r="B25" s="533"/>
      <c r="C25" s="558"/>
      <c r="D25" s="558"/>
      <c r="E25" s="558"/>
      <c r="F25" s="558"/>
      <c r="G25" s="558"/>
      <c r="H25" s="559"/>
      <c r="I25" s="560"/>
      <c r="J25" s="561"/>
      <c r="K25" s="561"/>
      <c r="L25" s="561"/>
      <c r="M25" s="561"/>
      <c r="N25" s="561"/>
      <c r="O25" s="562"/>
    </row>
    <row r="26" spans="1:15" ht="20.100000000000001" customHeight="1">
      <c r="A26" s="520" t="s">
        <v>1088</v>
      </c>
      <c r="B26" s="521" t="s">
        <v>1089</v>
      </c>
      <c r="C26" s="558"/>
      <c r="D26" s="558"/>
      <c r="E26" s="558"/>
      <c r="F26" s="558"/>
      <c r="G26" s="558"/>
      <c r="H26" s="559"/>
      <c r="I26" s="560"/>
      <c r="J26" s="561"/>
      <c r="K26" s="561"/>
      <c r="L26" s="561"/>
      <c r="M26" s="561"/>
      <c r="N26" s="561"/>
      <c r="O26" s="562"/>
    </row>
    <row r="27" spans="1:15" ht="20.100000000000001" customHeight="1">
      <c r="A27" s="520" t="s">
        <v>1090</v>
      </c>
      <c r="B27" s="521"/>
      <c r="C27" s="558"/>
      <c r="D27" s="558"/>
      <c r="E27" s="558"/>
      <c r="F27" s="558"/>
      <c r="G27" s="558"/>
      <c r="H27" s="559"/>
      <c r="I27" s="589" t="s">
        <v>1095</v>
      </c>
      <c r="J27" s="590"/>
      <c r="K27" s="590"/>
      <c r="L27" s="590"/>
      <c r="M27" s="590"/>
      <c r="N27" s="590"/>
      <c r="O27" s="591"/>
    </row>
    <row r="28" spans="1:15" ht="20.100000000000001" customHeight="1">
      <c r="A28" s="592" t="s">
        <v>1091</v>
      </c>
      <c r="B28" s="587"/>
      <c r="C28" s="558"/>
      <c r="D28" s="558"/>
      <c r="E28" s="558"/>
      <c r="F28" s="558"/>
      <c r="G28" s="558"/>
      <c r="H28" s="559"/>
      <c r="I28" s="593" t="s">
        <v>1096</v>
      </c>
      <c r="J28" s="593"/>
      <c r="K28" s="593" t="s">
        <v>1097</v>
      </c>
      <c r="L28" s="593"/>
      <c r="M28" s="593" t="s">
        <v>1098</v>
      </c>
      <c r="N28" s="593"/>
      <c r="O28" s="593"/>
    </row>
    <row r="29" spans="1:15" ht="20.100000000000001" customHeight="1">
      <c r="A29" s="592" t="s">
        <v>1099</v>
      </c>
      <c r="B29" s="587"/>
      <c r="C29" s="558"/>
      <c r="D29" s="558"/>
      <c r="E29" s="558"/>
      <c r="F29" s="558"/>
      <c r="G29" s="558"/>
      <c r="H29" s="559"/>
      <c r="I29" s="594"/>
      <c r="J29" s="594"/>
      <c r="K29" s="594"/>
      <c r="L29" s="594"/>
      <c r="M29" s="595"/>
      <c r="N29" s="594"/>
      <c r="O29" s="594"/>
    </row>
    <row r="30" spans="1:15" ht="20.100000000000001" customHeight="1">
      <c r="A30" s="596" t="s">
        <v>1100</v>
      </c>
      <c r="B30" s="578"/>
      <c r="C30" s="558"/>
      <c r="D30" s="558"/>
      <c r="E30" s="558"/>
      <c r="F30" s="558"/>
      <c r="G30" s="558"/>
      <c r="H30" s="559"/>
      <c r="I30" s="594"/>
      <c r="J30" s="594"/>
      <c r="K30" s="594"/>
      <c r="L30" s="594"/>
      <c r="M30" s="594"/>
      <c r="N30" s="594"/>
      <c r="O30" s="594"/>
    </row>
    <row r="31" spans="1:15" ht="20.100000000000001" customHeight="1">
      <c r="A31" s="198"/>
      <c r="B31" s="195"/>
      <c r="C31" s="194"/>
      <c r="D31" s="194"/>
      <c r="E31" s="194"/>
      <c r="F31" s="194"/>
      <c r="G31" s="195"/>
      <c r="H31" s="195"/>
      <c r="I31" s="597"/>
      <c r="J31" s="597"/>
      <c r="K31" s="598"/>
      <c r="L31" s="598"/>
      <c r="M31" s="598"/>
      <c r="N31" s="598"/>
      <c r="O31" s="598"/>
    </row>
    <row r="32" spans="1:15" ht="20.100000000000001" customHeight="1">
      <c r="A32" s="599" t="s">
        <v>1101</v>
      </c>
      <c r="B32" s="600"/>
      <c r="C32" s="600"/>
      <c r="D32" s="600"/>
      <c r="E32" s="600"/>
      <c r="F32" s="600"/>
      <c r="G32" s="600"/>
      <c r="H32" s="600"/>
      <c r="I32" s="600"/>
      <c r="J32" s="600"/>
      <c r="K32" s="600"/>
      <c r="L32" s="600"/>
      <c r="M32" s="600"/>
      <c r="N32" s="600"/>
      <c r="O32" s="601"/>
    </row>
    <row r="33" spans="1:20" ht="20.100000000000001" customHeight="1">
      <c r="A33" s="556" t="s">
        <v>1102</v>
      </c>
      <c r="B33" s="602"/>
      <c r="C33" s="603" t="e">
        <f xml:space="preserve"> IF(#REF!="Model 1",#REF!,#REF!)</f>
        <v>#REF!</v>
      </c>
      <c r="D33" s="603"/>
      <c r="E33" s="199"/>
      <c r="F33" s="200"/>
      <c r="G33" s="602" t="s">
        <v>1103</v>
      </c>
      <c r="H33" s="602"/>
      <c r="I33" s="603" t="e">
        <f xml:space="preserve"> IF(#REF!="Model 1",#REF!,#REF!)</f>
        <v>#REF!</v>
      </c>
      <c r="J33" s="603"/>
      <c r="K33" s="201"/>
      <c r="L33" s="604"/>
      <c r="M33" s="604"/>
      <c r="N33" s="202"/>
      <c r="O33" s="203"/>
      <c r="P33" s="613"/>
      <c r="Q33" s="613"/>
      <c r="R33" s="613"/>
      <c r="S33" s="613"/>
      <c r="T33" s="613"/>
    </row>
    <row r="34" spans="1:20" ht="20.100000000000001" customHeight="1">
      <c r="A34" s="556" t="s">
        <v>1104</v>
      </c>
      <c r="B34" s="602"/>
      <c r="C34" s="614" t="e">
        <f xml:space="preserve"> IF(#REF!="Model 1",#REF!,#REF!)</f>
        <v>#REF!</v>
      </c>
      <c r="D34" s="614"/>
      <c r="E34" s="199"/>
      <c r="F34" s="200"/>
      <c r="G34" s="602" t="s">
        <v>1105</v>
      </c>
      <c r="H34" s="602"/>
      <c r="I34" s="615" t="e">
        <f xml:space="preserve"> IF(#REF!="Model 1",#REF!,#REF!)</f>
        <v>#REF!</v>
      </c>
      <c r="J34" s="615"/>
      <c r="K34" s="204"/>
      <c r="L34" s="205"/>
      <c r="M34" s="205"/>
      <c r="N34" s="202"/>
      <c r="O34" s="203"/>
    </row>
    <row r="35" spans="1:20" ht="20.100000000000001" customHeight="1">
      <c r="A35" s="255"/>
      <c r="B35" s="256" t="s">
        <v>1106</v>
      </c>
      <c r="C35" s="616"/>
      <c r="D35" s="616"/>
      <c r="E35" s="607"/>
      <c r="F35" s="607"/>
      <c r="G35" s="606"/>
      <c r="H35" s="606"/>
      <c r="I35" s="202"/>
      <c r="J35" s="202"/>
      <c r="K35" s="202"/>
      <c r="L35" s="202"/>
      <c r="M35" s="202"/>
      <c r="N35" s="202"/>
      <c r="O35" s="206"/>
    </row>
    <row r="36" spans="1:20" ht="20.100000000000001" customHeight="1">
      <c r="A36" s="207"/>
      <c r="B36" s="195"/>
      <c r="C36" s="605"/>
      <c r="D36" s="605"/>
      <c r="E36" s="606"/>
      <c r="F36" s="606"/>
      <c r="G36" s="607"/>
      <c r="H36" s="607"/>
      <c r="I36" s="202"/>
      <c r="J36" s="202"/>
      <c r="K36" s="202"/>
      <c r="L36" s="202"/>
      <c r="M36" s="202"/>
      <c r="N36" s="202"/>
      <c r="O36" s="206"/>
    </row>
    <row r="37" spans="1:20" ht="20.100000000000001" customHeight="1">
      <c r="A37" s="196" t="s">
        <v>1110</v>
      </c>
      <c r="B37" s="197"/>
      <c r="C37" s="208"/>
      <c r="D37" s="208"/>
      <c r="E37" s="208"/>
      <c r="F37" s="208"/>
      <c r="G37" s="208"/>
      <c r="H37" s="208"/>
      <c r="I37" s="197"/>
      <c r="J37" s="197"/>
      <c r="K37" s="197"/>
      <c r="L37" s="197"/>
      <c r="M37" s="197"/>
      <c r="N37" s="197"/>
      <c r="O37" s="209"/>
    </row>
    <row r="38" spans="1:20" ht="20.100000000000001" customHeight="1">
      <c r="A38" s="608" t="s">
        <v>1111</v>
      </c>
      <c r="B38" s="609"/>
      <c r="C38" s="609"/>
      <c r="D38" s="127" t="s">
        <v>1112</v>
      </c>
      <c r="E38" s="127" t="s">
        <v>1113</v>
      </c>
      <c r="F38" s="127" t="s">
        <v>1114</v>
      </c>
      <c r="G38" s="127" t="s">
        <v>1115</v>
      </c>
      <c r="H38" s="127" t="s">
        <v>109</v>
      </c>
      <c r="I38" s="127" t="s">
        <v>110</v>
      </c>
      <c r="J38" s="127" t="s">
        <v>111</v>
      </c>
      <c r="K38" s="127" t="s">
        <v>1116</v>
      </c>
      <c r="L38" s="127" t="s">
        <v>1117</v>
      </c>
      <c r="M38" s="127" t="s">
        <v>1118</v>
      </c>
      <c r="N38" s="127" t="s">
        <v>1119</v>
      </c>
      <c r="O38" s="128" t="s">
        <v>1120</v>
      </c>
      <c r="Q38" s="135" t="s">
        <v>1172</v>
      </c>
    </row>
    <row r="39" spans="1:20" ht="20.100000000000001" customHeight="1">
      <c r="A39" s="608" t="s">
        <v>1121</v>
      </c>
      <c r="B39" s="609"/>
      <c r="C39" s="609"/>
      <c r="D39" s="610"/>
      <c r="E39" s="610"/>
      <c r="F39" s="610"/>
      <c r="G39" s="611" t="s">
        <v>1122</v>
      </c>
      <c r="H39" s="612"/>
      <c r="I39" s="617"/>
      <c r="J39" s="618"/>
      <c r="K39" s="619" t="s">
        <v>1123</v>
      </c>
      <c r="L39" s="620"/>
      <c r="M39" s="621"/>
      <c r="N39" s="622"/>
      <c r="O39" s="623"/>
    </row>
    <row r="40" spans="1:20" ht="20.100000000000001" customHeight="1">
      <c r="A40" s="624" t="s">
        <v>1124</v>
      </c>
      <c r="B40" s="625"/>
      <c r="C40" s="625"/>
      <c r="D40" s="129"/>
      <c r="E40" s="210"/>
      <c r="F40" s="210"/>
      <c r="G40" s="210"/>
      <c r="H40" s="210"/>
      <c r="J40" s="211"/>
      <c r="K40" s="212"/>
      <c r="L40" s="213"/>
      <c r="M40" s="213"/>
      <c r="N40" s="213"/>
      <c r="O40" s="214"/>
    </row>
    <row r="41" spans="1:20" ht="20.100000000000001" customHeight="1">
      <c r="A41" s="257"/>
      <c r="B41" s="609" t="s">
        <v>1125</v>
      </c>
      <c r="C41" s="609"/>
      <c r="D41" s="130"/>
      <c r="E41" s="215"/>
      <c r="F41" s="215"/>
      <c r="G41" s="215"/>
      <c r="H41" s="215"/>
      <c r="I41" s="216"/>
      <c r="J41" s="217"/>
      <c r="K41" s="218"/>
      <c r="L41" s="213"/>
      <c r="M41" s="213"/>
      <c r="N41" s="213"/>
      <c r="O41" s="214"/>
    </row>
    <row r="42" spans="1:20" ht="20.100000000000001" customHeight="1">
      <c r="A42" s="257"/>
      <c r="B42" s="609" t="s">
        <v>1126</v>
      </c>
      <c r="C42" s="609"/>
      <c r="D42" s="130"/>
      <c r="E42" s="626" t="s">
        <v>1127</v>
      </c>
      <c r="F42" s="626"/>
      <c r="G42" s="626"/>
      <c r="H42" s="131"/>
      <c r="I42" s="627" t="s">
        <v>1128</v>
      </c>
      <c r="J42" s="628"/>
      <c r="K42" s="629"/>
      <c r="L42" s="629"/>
      <c r="M42" s="219"/>
      <c r="N42" s="219"/>
      <c r="O42" s="220"/>
    </row>
    <row r="43" spans="1:20">
      <c r="A43" s="221"/>
      <c r="B43" s="222"/>
      <c r="C43" s="222"/>
      <c r="D43" s="222"/>
      <c r="E43" s="222"/>
      <c r="F43" s="222"/>
      <c r="G43" s="222"/>
      <c r="H43" s="222"/>
      <c r="I43" s="222"/>
      <c r="J43" s="222"/>
      <c r="K43" s="222"/>
      <c r="L43" s="222"/>
      <c r="M43" s="222"/>
      <c r="N43" s="222"/>
      <c r="O43" s="223"/>
    </row>
    <row r="44" spans="1:20" s="136" customFormat="1" ht="24.95" customHeight="1">
      <c r="A44" s="641" t="s">
        <v>1129</v>
      </c>
      <c r="B44" s="642"/>
      <c r="C44" s="642"/>
      <c r="D44" s="642"/>
      <c r="E44" s="642"/>
      <c r="F44" s="642"/>
      <c r="G44" s="642"/>
      <c r="H44" s="642"/>
      <c r="I44" s="642"/>
      <c r="J44" s="642"/>
      <c r="K44" s="642"/>
      <c r="L44" s="642"/>
      <c r="M44" s="642"/>
      <c r="N44" s="642"/>
      <c r="O44" s="643"/>
    </row>
    <row r="45" spans="1:20" ht="24.95" customHeight="1">
      <c r="A45" s="633" t="s">
        <v>1130</v>
      </c>
      <c r="B45" s="634"/>
      <c r="C45" s="634"/>
      <c r="D45" s="634"/>
      <c r="E45" s="634"/>
      <c r="F45" s="634"/>
      <c r="G45" s="634"/>
      <c r="H45" s="634"/>
      <c r="I45" s="635"/>
      <c r="J45" s="132"/>
      <c r="K45" s="224"/>
      <c r="L45" s="224"/>
      <c r="M45" s="225"/>
      <c r="N45" s="225"/>
      <c r="O45" s="226"/>
      <c r="P45" s="137"/>
      <c r="Q45" s="137"/>
      <c r="R45" s="137"/>
    </row>
    <row r="46" spans="1:20" ht="24.95" customHeight="1">
      <c r="A46" s="633" t="s">
        <v>1131</v>
      </c>
      <c r="B46" s="634"/>
      <c r="C46" s="634"/>
      <c r="D46" s="634"/>
      <c r="E46" s="634"/>
      <c r="F46" s="634"/>
      <c r="G46" s="634"/>
      <c r="H46" s="634"/>
      <c r="I46" s="635"/>
      <c r="J46" s="133"/>
      <c r="K46" s="258" t="s">
        <v>1132</v>
      </c>
      <c r="L46" s="644"/>
      <c r="M46" s="644"/>
      <c r="N46" s="644"/>
      <c r="O46" s="644"/>
    </row>
    <row r="47" spans="1:20" ht="24.95" customHeight="1">
      <c r="A47" s="633" t="s">
        <v>1133</v>
      </c>
      <c r="B47" s="634"/>
      <c r="C47" s="634"/>
      <c r="D47" s="634"/>
      <c r="E47" s="634"/>
      <c r="F47" s="634"/>
      <c r="G47" s="634"/>
      <c r="H47" s="634"/>
      <c r="I47" s="635"/>
      <c r="J47" s="134"/>
      <c r="K47" s="227"/>
      <c r="L47" s="227"/>
      <c r="M47" s="216"/>
      <c r="N47" s="216"/>
      <c r="O47" s="228"/>
    </row>
    <row r="48" spans="1:20" ht="24.95" customHeight="1">
      <c r="A48" s="633" t="s">
        <v>1134</v>
      </c>
      <c r="B48" s="634"/>
      <c r="C48" s="634"/>
      <c r="D48" s="634"/>
      <c r="E48" s="634"/>
      <c r="F48" s="634"/>
      <c r="G48" s="634"/>
      <c r="H48" s="634"/>
      <c r="I48" s="635"/>
      <c r="J48" s="133"/>
      <c r="K48" s="227"/>
      <c r="L48" s="227"/>
      <c r="M48" s="216"/>
      <c r="N48" s="216"/>
      <c r="O48" s="228"/>
    </row>
    <row r="49" spans="1:24" ht="24.95" customHeight="1">
      <c r="A49" s="633" t="s">
        <v>1135</v>
      </c>
      <c r="B49" s="634"/>
      <c r="C49" s="634"/>
      <c r="D49" s="634"/>
      <c r="E49" s="634"/>
      <c r="F49" s="634"/>
      <c r="G49" s="634"/>
      <c r="H49" s="634"/>
      <c r="I49" s="635"/>
      <c r="J49" s="133"/>
      <c r="K49" s="227"/>
      <c r="L49" s="227"/>
      <c r="M49" s="216"/>
      <c r="N49" s="216"/>
      <c r="O49" s="228"/>
    </row>
    <row r="50" spans="1:24" ht="20.100000000000001" customHeight="1">
      <c r="A50" s="636" t="s">
        <v>1136</v>
      </c>
      <c r="B50" s="637"/>
      <c r="C50" s="637"/>
      <c r="D50" s="637"/>
      <c r="E50" s="637"/>
      <c r="F50" s="637"/>
      <c r="G50" s="637"/>
      <c r="H50" s="637"/>
      <c r="I50" s="260"/>
      <c r="J50" s="259"/>
      <c r="K50" s="259"/>
      <c r="L50" s="261"/>
      <c r="M50" s="261"/>
      <c r="N50" s="261"/>
      <c r="O50" s="262"/>
    </row>
    <row r="51" spans="1:24" ht="35.1" customHeight="1">
      <c r="A51" s="638" t="s">
        <v>1137</v>
      </c>
      <c r="B51" s="639"/>
      <c r="C51" s="229"/>
      <c r="D51" s="230"/>
      <c r="E51" s="231"/>
      <c r="F51" s="230"/>
      <c r="G51" s="232" t="s">
        <v>1138</v>
      </c>
      <c r="H51" s="233" t="s">
        <v>1139</v>
      </c>
      <c r="I51" s="230"/>
      <c r="J51" s="230"/>
      <c r="K51" s="234" t="s">
        <v>1140</v>
      </c>
      <c r="L51" s="640"/>
      <c r="M51" s="640"/>
      <c r="N51" s="640"/>
      <c r="O51" s="235"/>
    </row>
    <row r="52" spans="1:24" ht="35.1" customHeight="1">
      <c r="A52" s="638" t="s">
        <v>1137</v>
      </c>
      <c r="B52" s="639"/>
      <c r="C52" s="236"/>
      <c r="D52" s="237"/>
      <c r="E52" s="238"/>
      <c r="F52" s="237"/>
      <c r="G52" s="239" t="s">
        <v>1138</v>
      </c>
      <c r="H52" s="240" t="s">
        <v>1141</v>
      </c>
      <c r="I52" s="237"/>
      <c r="J52" s="237"/>
      <c r="K52" s="241" t="s">
        <v>1140</v>
      </c>
      <c r="L52" s="640"/>
      <c r="M52" s="640"/>
      <c r="N52" s="640"/>
      <c r="O52" s="242"/>
      <c r="R52" s="138"/>
      <c r="S52" s="138"/>
      <c r="T52" s="138"/>
      <c r="U52" s="138"/>
      <c r="V52" s="138"/>
      <c r="W52" s="138"/>
      <c r="X52" s="138"/>
    </row>
    <row r="53" spans="1:24">
      <c r="A53" s="243"/>
      <c r="B53" s="244"/>
      <c r="C53" s="244"/>
      <c r="D53" s="244"/>
      <c r="E53" s="244"/>
      <c r="F53" s="245"/>
      <c r="G53" s="245"/>
      <c r="H53" s="245"/>
      <c r="I53" s="246"/>
      <c r="J53" s="247"/>
      <c r="K53" s="247"/>
      <c r="L53" s="247"/>
      <c r="M53" s="247"/>
      <c r="N53" s="247"/>
      <c r="O53" s="248"/>
    </row>
    <row r="54" spans="1:24" ht="15.75" thickBot="1">
      <c r="A54" s="630" t="s">
        <v>1142</v>
      </c>
      <c r="B54" s="631"/>
      <c r="C54" s="631"/>
      <c r="D54" s="631"/>
      <c r="E54" s="631"/>
      <c r="F54" s="631"/>
      <c r="G54" s="631"/>
      <c r="H54" s="631"/>
      <c r="I54" s="631"/>
      <c r="J54" s="631"/>
      <c r="K54" s="631"/>
      <c r="L54" s="631"/>
      <c r="M54" s="631"/>
      <c r="N54" s="631"/>
      <c r="O54" s="632"/>
    </row>
  </sheetData>
  <sheetProtection formatCells="0" insertHyperlinks="0" selectLockedCells="1" sort="0" autoFilter="0" pivotTables="0"/>
  <mergeCells count="125">
    <mergeCell ref="A40:C40"/>
    <mergeCell ref="B41:C41"/>
    <mergeCell ref="B42:C42"/>
    <mergeCell ref="E42:G42"/>
    <mergeCell ref="I42:J42"/>
    <mergeCell ref="K42:L42"/>
    <mergeCell ref="A54:O54"/>
    <mergeCell ref="A49:I49"/>
    <mergeCell ref="A50:H50"/>
    <mergeCell ref="A51:B51"/>
    <mergeCell ref="L51:N51"/>
    <mergeCell ref="A52:B52"/>
    <mergeCell ref="L52:N52"/>
    <mergeCell ref="A44:O44"/>
    <mergeCell ref="A45:I45"/>
    <mergeCell ref="A46:I46"/>
    <mergeCell ref="L46:O46"/>
    <mergeCell ref="A47:I47"/>
    <mergeCell ref="A48:I48"/>
    <mergeCell ref="C36:D36"/>
    <mergeCell ref="E36:F36"/>
    <mergeCell ref="G36:H36"/>
    <mergeCell ref="A38:C38"/>
    <mergeCell ref="A39:C39"/>
    <mergeCell ref="D39:F39"/>
    <mergeCell ref="G39:H39"/>
    <mergeCell ref="P33:T33"/>
    <mergeCell ref="A34:B34"/>
    <mergeCell ref="C34:D34"/>
    <mergeCell ref="G34:H34"/>
    <mergeCell ref="I34:J34"/>
    <mergeCell ref="C35:D35"/>
    <mergeCell ref="E35:F35"/>
    <mergeCell ref="G35:H35"/>
    <mergeCell ref="I39:J39"/>
    <mergeCell ref="K39:M39"/>
    <mergeCell ref="N39:O39"/>
    <mergeCell ref="I31:J31"/>
    <mergeCell ref="K31:L31"/>
    <mergeCell ref="M31:O31"/>
    <mergeCell ref="A32:O32"/>
    <mergeCell ref="A33:B33"/>
    <mergeCell ref="C33:D33"/>
    <mergeCell ref="G33:H33"/>
    <mergeCell ref="I33:J33"/>
    <mergeCell ref="L33:M33"/>
    <mergeCell ref="A29:B29"/>
    <mergeCell ref="C29:H29"/>
    <mergeCell ref="I29:J29"/>
    <mergeCell ref="K29:L29"/>
    <mergeCell ref="M29:O29"/>
    <mergeCell ref="A30:B30"/>
    <mergeCell ref="C30:H30"/>
    <mergeCell ref="I30:J30"/>
    <mergeCell ref="K30:L30"/>
    <mergeCell ref="M30:O30"/>
    <mergeCell ref="A27:B27"/>
    <mergeCell ref="C27:H27"/>
    <mergeCell ref="I27:O27"/>
    <mergeCell ref="A28:B28"/>
    <mergeCell ref="C28:H28"/>
    <mergeCell ref="I28:J28"/>
    <mergeCell ref="K28:L28"/>
    <mergeCell ref="M28:O28"/>
    <mergeCell ref="A25:B25"/>
    <mergeCell ref="C25:H25"/>
    <mergeCell ref="I25:O25"/>
    <mergeCell ref="A26:B26"/>
    <mergeCell ref="C26:H26"/>
    <mergeCell ref="I26:O26"/>
    <mergeCell ref="A22:B22"/>
    <mergeCell ref="C22:H22"/>
    <mergeCell ref="I22:O22"/>
    <mergeCell ref="A23:B23"/>
    <mergeCell ref="I23:O23"/>
    <mergeCell ref="I24:O24"/>
    <mergeCell ref="A20:B20"/>
    <mergeCell ref="C20:H20"/>
    <mergeCell ref="I20:O20"/>
    <mergeCell ref="A21:B21"/>
    <mergeCell ref="C21:H21"/>
    <mergeCell ref="I21:O21"/>
    <mergeCell ref="A18:B18"/>
    <mergeCell ref="C18:H18"/>
    <mergeCell ref="I18:O18"/>
    <mergeCell ref="A19:B19"/>
    <mergeCell ref="C19:H19"/>
    <mergeCell ref="I19:O19"/>
    <mergeCell ref="B15:D15"/>
    <mergeCell ref="F15:H15"/>
    <mergeCell ref="J15:L15"/>
    <mergeCell ref="N15:O15"/>
    <mergeCell ref="A16:O16"/>
    <mergeCell ref="A17:B17"/>
    <mergeCell ref="C17:H17"/>
    <mergeCell ref="I17:O17"/>
    <mergeCell ref="A11:O11"/>
    <mergeCell ref="J12:L12"/>
    <mergeCell ref="B13:D13"/>
    <mergeCell ref="F13:H13"/>
    <mergeCell ref="J13:L13"/>
    <mergeCell ref="B14:D14"/>
    <mergeCell ref="F14:H14"/>
    <mergeCell ref="J14:L14"/>
    <mergeCell ref="A8:B8"/>
    <mergeCell ref="C8:H8"/>
    <mergeCell ref="I8:J8"/>
    <mergeCell ref="K8:O8"/>
    <mergeCell ref="A9:B9"/>
    <mergeCell ref="I9:J9"/>
    <mergeCell ref="K9:O9"/>
    <mergeCell ref="A6:B6"/>
    <mergeCell ref="C6:H6"/>
    <mergeCell ref="I6:J6"/>
    <mergeCell ref="K6:O6"/>
    <mergeCell ref="A7:B7"/>
    <mergeCell ref="C7:H7"/>
    <mergeCell ref="I7:J7"/>
    <mergeCell ref="K7:O7"/>
    <mergeCell ref="A3:O3"/>
    <mergeCell ref="A4:O4"/>
    <mergeCell ref="A5:B5"/>
    <mergeCell ref="C5:H5"/>
    <mergeCell ref="I5:J5"/>
    <mergeCell ref="K5:O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870A4C3A-CF71-4391-AD8A-897E088A7EA0}">
          <x14:formula1>
            <xm:f>'HIDE - DATA'!$A$2:$A$20</xm:f>
          </x14:formula1>
          <xm:sqref>C8:H8</xm:sqref>
        </x14:dataValidation>
        <x14:dataValidation type="list" allowBlank="1" showInputMessage="1" showErrorMessage="1" xr:uid="{C9CDE363-F2F7-4F8F-B330-1ADF611FB87D}">
          <x14:formula1>
            <xm:f>'HIDE - DATA'!$A$22:$A$28</xm:f>
          </x14:formula1>
          <xm:sqref>K6:O6 K7:O7 C6:H6</xm:sqref>
        </x14:dataValidation>
        <x14:dataValidation type="list" allowBlank="1" showInputMessage="1" showErrorMessage="1" xr:uid="{DC2BA2E1-E8C2-42EA-ABD2-290BCD0ED7C9}">
          <x14:formula1>
            <xm:f>'HIDE - DATA'!$A$30:$A$34</xm:f>
          </x14:formula1>
          <xm:sqref>C35:D35</xm:sqref>
        </x14:dataValidation>
        <x14:dataValidation type="list" allowBlank="1" showInputMessage="1" showErrorMessage="1" xr:uid="{6611C2DD-1C2B-4ED9-AE26-DF7DBF1A4955}">
          <x14:formula1>
            <xm:f>'HIDE - DATA'!$A$36:$A$41</xm:f>
          </x14:formula1>
          <xm:sqref>D40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8912-B6D8-4932-BCFF-87646DB7E83E}">
  <sheetPr codeName="Sheet17">
    <tabColor rgb="FFFFC000"/>
  </sheetPr>
  <dimension ref="A1:X59"/>
  <sheetViews>
    <sheetView showGridLines="0" workbookViewId="0"/>
  </sheetViews>
  <sheetFormatPr defaultColWidth="0" defaultRowHeight="12.75" zeroHeight="1"/>
  <cols>
    <col min="1" max="24" width="9.140625" customWidth="1"/>
    <col min="25" max="16384" width="9.140625" hidden="1"/>
  </cols>
  <sheetData>
    <row r="1" spans="1:13" ht="15.75">
      <c r="A1" s="468" t="s">
        <v>1433</v>
      </c>
    </row>
    <row r="2" spans="1:13" ht="15.75">
      <c r="A2" s="469" t="s">
        <v>1800</v>
      </c>
    </row>
    <row r="3" spans="1:13" ht="15.75">
      <c r="A3" s="470" t="s">
        <v>1801</v>
      </c>
    </row>
    <row r="4" spans="1:13" ht="15.75">
      <c r="A4" s="470" t="s">
        <v>1802</v>
      </c>
    </row>
    <row r="5" spans="1:13" ht="15.75">
      <c r="A5" s="470" t="s">
        <v>1803</v>
      </c>
    </row>
    <row r="6" spans="1:13" ht="15.75">
      <c r="A6" s="470" t="s">
        <v>1804</v>
      </c>
    </row>
    <row r="7" spans="1:13" ht="15.75">
      <c r="A7" s="470" t="s">
        <v>1805</v>
      </c>
    </row>
    <row r="8" spans="1:13" ht="15.75">
      <c r="A8" s="470" t="s">
        <v>1806</v>
      </c>
    </row>
    <row r="9" spans="1:13" ht="15.75">
      <c r="A9" s="470" t="s">
        <v>1807</v>
      </c>
    </row>
    <row r="10" spans="1:13" ht="15.75">
      <c r="A10" s="470" t="s">
        <v>1808</v>
      </c>
    </row>
    <row r="11" spans="1:13" ht="15.75">
      <c r="A11" s="470" t="s">
        <v>1809</v>
      </c>
    </row>
    <row r="12" spans="1:13" ht="110.25" customHeight="1">
      <c r="A12" s="472" t="s">
        <v>1784</v>
      </c>
      <c r="C12" s="478"/>
      <c r="D12" s="478"/>
      <c r="E12" s="478"/>
      <c r="F12" s="478"/>
      <c r="G12" s="478"/>
      <c r="H12" s="478"/>
      <c r="I12" s="478"/>
      <c r="J12" s="478"/>
      <c r="K12" s="478"/>
      <c r="L12" s="478"/>
      <c r="M12" s="478"/>
    </row>
    <row r="13" spans="1:13"/>
    <row r="14" spans="1:13" ht="15.75">
      <c r="A14" s="469" t="s">
        <v>1810</v>
      </c>
    </row>
    <row r="15" spans="1:13" ht="15.75">
      <c r="A15" s="470" t="s">
        <v>1811</v>
      </c>
    </row>
    <row r="16" spans="1:13" ht="57.75" customHeight="1">
      <c r="A16" s="470"/>
    </row>
    <row r="17" spans="1:6" ht="15.75">
      <c r="A17" s="470" t="s">
        <v>1812</v>
      </c>
    </row>
    <row r="18" spans="1:6" ht="70.5" customHeight="1">
      <c r="B18" s="478"/>
      <c r="C18" s="478"/>
      <c r="D18" s="478"/>
    </row>
    <row r="19" spans="1:6" ht="15.75">
      <c r="A19" s="470" t="s">
        <v>1813</v>
      </c>
    </row>
    <row r="20" spans="1:6" ht="15.75">
      <c r="A20" s="470" t="s">
        <v>1814</v>
      </c>
    </row>
    <row r="21" spans="1:6" ht="15.75">
      <c r="A21" s="472" t="s">
        <v>1815</v>
      </c>
    </row>
    <row r="22" spans="1:6" ht="15.75">
      <c r="A22" s="469" t="s">
        <v>1816</v>
      </c>
    </row>
    <row r="23" spans="1:6" ht="15.75">
      <c r="A23" s="470" t="s">
        <v>1817</v>
      </c>
    </row>
    <row r="24" spans="1:6" ht="15.75">
      <c r="A24" s="470" t="s">
        <v>1818</v>
      </c>
    </row>
    <row r="25" spans="1:6" ht="15.75">
      <c r="A25" s="470" t="s">
        <v>1819</v>
      </c>
    </row>
    <row r="26" spans="1:6" ht="15.75">
      <c r="A26" s="472" t="s">
        <v>1842</v>
      </c>
    </row>
    <row r="27" spans="1:6" ht="15.75">
      <c r="A27" s="469" t="s">
        <v>1820</v>
      </c>
    </row>
    <row r="28" spans="1:6" ht="15.75">
      <c r="A28" s="470" t="s">
        <v>1821</v>
      </c>
    </row>
    <row r="29" spans="1:6" ht="15.75">
      <c r="A29" s="469" t="s">
        <v>1822</v>
      </c>
    </row>
    <row r="30" spans="1:6" ht="81.75" customHeight="1">
      <c r="A30" s="470" t="s">
        <v>1781</v>
      </c>
      <c r="C30" s="478"/>
      <c r="D30" s="478"/>
      <c r="E30" s="478"/>
      <c r="F30" s="478"/>
    </row>
    <row r="31" spans="1:6"/>
    <row r="32" spans="1:6" ht="15.75">
      <c r="A32" s="469" t="s">
        <v>1823</v>
      </c>
    </row>
    <row r="33" spans="1:20" ht="171.75" customHeight="1">
      <c r="A33" s="470" t="s">
        <v>1781</v>
      </c>
      <c r="C33" s="478"/>
      <c r="D33" s="478"/>
      <c r="E33" s="478"/>
      <c r="F33" s="478"/>
      <c r="G33" s="478"/>
    </row>
    <row r="34" spans="1:20"/>
    <row r="35" spans="1:20" ht="15.75">
      <c r="A35" s="469" t="s">
        <v>1824</v>
      </c>
    </row>
    <row r="36" spans="1:20" ht="87" customHeight="1">
      <c r="A36" s="470" t="s">
        <v>1781</v>
      </c>
      <c r="C36" s="478"/>
      <c r="D36" s="478"/>
      <c r="E36" s="478"/>
      <c r="F36" s="478"/>
      <c r="G36" s="478"/>
      <c r="H36" s="478"/>
      <c r="I36" s="478"/>
      <c r="J36" s="478"/>
      <c r="K36" s="478"/>
      <c r="L36" s="478"/>
      <c r="M36" s="478"/>
      <c r="N36" s="478"/>
    </row>
    <row r="37" spans="1:20"/>
    <row r="38" spans="1:20"/>
    <row r="39" spans="1:20" ht="15.75">
      <c r="A39" s="468"/>
    </row>
    <row r="40" spans="1:20" ht="15.75">
      <c r="A40" s="468" t="s">
        <v>1825</v>
      </c>
    </row>
    <row r="41" spans="1:20" ht="15.75">
      <c r="A41" s="469" t="s">
        <v>1826</v>
      </c>
    </row>
    <row r="42" spans="1:20" ht="72.75" customHeight="1">
      <c r="A42" s="470" t="s">
        <v>1781</v>
      </c>
      <c r="C42" s="478"/>
      <c r="D42" s="478"/>
      <c r="E42" s="478"/>
      <c r="F42" s="478"/>
      <c r="G42" s="478"/>
    </row>
    <row r="43" spans="1:20"/>
    <row r="44" spans="1:20" ht="15.75">
      <c r="A44" s="469" t="s">
        <v>1827</v>
      </c>
    </row>
    <row r="45" spans="1:20" ht="247.5" customHeight="1">
      <c r="A45" s="470" t="s">
        <v>1781</v>
      </c>
      <c r="C45" s="478"/>
      <c r="D45" s="478"/>
      <c r="E45" s="478"/>
      <c r="F45" s="478"/>
      <c r="G45" s="478"/>
    </row>
    <row r="46" spans="1:20"/>
    <row r="47" spans="1:20" ht="15.75">
      <c r="A47" s="469" t="s">
        <v>1828</v>
      </c>
    </row>
    <row r="48" spans="1:20" ht="35.25" customHeight="1">
      <c r="A48" s="479" t="s">
        <v>1837</v>
      </c>
      <c r="B48" s="479"/>
      <c r="C48" s="479"/>
      <c r="D48" s="479"/>
      <c r="E48" s="479"/>
      <c r="F48" s="479"/>
      <c r="G48" s="479"/>
      <c r="H48" s="479"/>
      <c r="I48" s="479"/>
      <c r="J48" s="479"/>
      <c r="K48" s="479"/>
      <c r="L48" s="479"/>
      <c r="M48" s="479"/>
      <c r="N48" s="479"/>
      <c r="O48" s="479"/>
      <c r="P48" s="479"/>
      <c r="Q48" s="479"/>
      <c r="R48" s="479"/>
      <c r="S48" s="479"/>
      <c r="T48" s="479"/>
    </row>
    <row r="49" spans="1:14" ht="88.5" customHeight="1">
      <c r="A49" s="470" t="s">
        <v>1781</v>
      </c>
      <c r="C49" s="478"/>
      <c r="D49" s="478"/>
      <c r="E49" s="478"/>
      <c r="F49" s="478"/>
      <c r="G49" s="478"/>
      <c r="H49" s="478"/>
      <c r="I49" s="478"/>
      <c r="J49" s="478"/>
      <c r="K49" s="478"/>
      <c r="L49" s="478"/>
      <c r="M49" s="478"/>
      <c r="N49" s="478"/>
    </row>
    <row r="50" spans="1:14"/>
    <row r="51" spans="1:14" ht="15.75">
      <c r="A51" s="469" t="s">
        <v>1829</v>
      </c>
    </row>
    <row r="52" spans="1:14" ht="15.75">
      <c r="A52" s="469" t="s">
        <v>1830</v>
      </c>
    </row>
    <row r="53" spans="1:14" ht="15.75">
      <c r="A53" s="469" t="s">
        <v>1831</v>
      </c>
    </row>
    <row r="54" spans="1:14" ht="15.75">
      <c r="A54" s="469" t="s">
        <v>1832</v>
      </c>
    </row>
    <row r="55" spans="1:14" ht="15.75">
      <c r="A55" s="469" t="s">
        <v>1833</v>
      </c>
    </row>
    <row r="56" spans="1:14"/>
    <row r="57" spans="1:14"/>
    <row r="58" spans="1:14"/>
    <row r="59" spans="1:14"/>
  </sheetData>
  <sheetProtection algorithmName="SHA-512" hashValue="Rd61kYOaVEI/b3DYhzY5TOJnLrp6dmJngJ3Nhu5h9zqYb/5OPsFtumhvlAOeCDIx+G9riPFbI+cPc8LqIbX1WQ==" saltValue="5RKKAbPDeIJgC0RTvkLv0w==" spinCount="100000" sheet="1" objects="1" scenarios="1"/>
  <mergeCells count="9">
    <mergeCell ref="C45:G45"/>
    <mergeCell ref="C49:N49"/>
    <mergeCell ref="A48:T48"/>
    <mergeCell ref="C12:M12"/>
    <mergeCell ref="C30:F30"/>
    <mergeCell ref="B18:D18"/>
    <mergeCell ref="C33:G33"/>
    <mergeCell ref="C36:N36"/>
    <mergeCell ref="C42:G4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91C35-D5AD-4ABD-A38E-720F3481D0DC}">
  <sheetPr>
    <tabColor rgb="FF92D050"/>
  </sheetPr>
  <dimension ref="A1:Q54"/>
  <sheetViews>
    <sheetView workbookViewId="0">
      <selection activeCell="G6" sqref="G6"/>
    </sheetView>
  </sheetViews>
  <sheetFormatPr defaultRowHeight="12.75"/>
  <cols>
    <col min="1" max="1" width="9.85546875" bestFit="1" customWidth="1"/>
    <col min="3" max="3" width="13.5703125" bestFit="1" customWidth="1"/>
    <col min="4" max="4" width="10.85546875" bestFit="1" customWidth="1"/>
    <col min="5" max="5" width="8.7109375" bestFit="1" customWidth="1"/>
    <col min="6" max="6" width="10.5703125" bestFit="1" customWidth="1"/>
    <col min="9" max="9" width="23.28515625" bestFit="1" customWidth="1"/>
    <col min="10" max="10" width="10.85546875" bestFit="1" customWidth="1"/>
    <col min="11" max="11" width="8.5703125" bestFit="1" customWidth="1"/>
    <col min="12" max="12" width="10.5703125" bestFit="1" customWidth="1"/>
  </cols>
  <sheetData>
    <row r="1" spans="1:17">
      <c r="A1" s="8" t="s">
        <v>1626</v>
      </c>
      <c r="B1" s="8"/>
      <c r="C1" s="8" t="s">
        <v>1472</v>
      </c>
      <c r="D1" s="8" t="s">
        <v>1575</v>
      </c>
      <c r="E1" s="8" t="s">
        <v>1627</v>
      </c>
      <c r="F1" s="8" t="s">
        <v>1625</v>
      </c>
      <c r="G1" s="8"/>
      <c r="H1" s="8"/>
      <c r="I1" s="8" t="s">
        <v>1472</v>
      </c>
      <c r="J1" s="8" t="s">
        <v>1575</v>
      </c>
      <c r="K1" s="8" t="s">
        <v>1627</v>
      </c>
      <c r="L1" s="8" t="s">
        <v>1625</v>
      </c>
    </row>
    <row r="2" spans="1:17">
      <c r="A2" s="15" t="s">
        <v>1575</v>
      </c>
      <c r="C2" s="15" t="s">
        <v>1637</v>
      </c>
      <c r="D2" s="436"/>
      <c r="E2" s="436"/>
      <c r="F2" s="436"/>
      <c r="I2" s="15" t="s">
        <v>1628</v>
      </c>
    </row>
    <row r="3" spans="1:17">
      <c r="A3" s="15" t="s">
        <v>1627</v>
      </c>
      <c r="C3" s="15" t="s">
        <v>1458</v>
      </c>
      <c r="D3" s="436">
        <v>92.51</v>
      </c>
      <c r="E3" s="436">
        <v>93.06</v>
      </c>
      <c r="F3" s="436">
        <v>91.13</v>
      </c>
      <c r="I3" s="15" t="s">
        <v>1635</v>
      </c>
      <c r="J3" s="461">
        <v>3.15</v>
      </c>
      <c r="K3" s="461">
        <v>2.75</v>
      </c>
      <c r="L3" s="461">
        <v>3</v>
      </c>
    </row>
    <row r="4" spans="1:17">
      <c r="A4" s="15" t="s">
        <v>1625</v>
      </c>
      <c r="C4" s="15" t="s">
        <v>1459</v>
      </c>
      <c r="D4" s="436">
        <v>98.41</v>
      </c>
      <c r="E4" s="436">
        <v>99.07</v>
      </c>
      <c r="F4" s="436">
        <v>93.64</v>
      </c>
      <c r="I4" s="15" t="s">
        <v>1629</v>
      </c>
      <c r="J4" s="461">
        <v>3.4</v>
      </c>
      <c r="K4" s="461">
        <v>3.4</v>
      </c>
      <c r="L4" s="461">
        <v>2.75</v>
      </c>
    </row>
    <row r="5" spans="1:17">
      <c r="C5" s="15" t="s">
        <v>1460</v>
      </c>
      <c r="D5" s="436">
        <v>101.35</v>
      </c>
      <c r="E5" s="436">
        <v>102.08</v>
      </c>
      <c r="F5" s="436">
        <v>96.15</v>
      </c>
      <c r="I5" s="15" t="s">
        <v>1630</v>
      </c>
      <c r="J5" s="461">
        <v>3.4</v>
      </c>
      <c r="K5" s="461">
        <v>3.4</v>
      </c>
      <c r="L5" s="461">
        <v>2.75</v>
      </c>
    </row>
    <row r="6" spans="1:17">
      <c r="C6" s="15" t="s">
        <v>1461</v>
      </c>
      <c r="D6" s="436">
        <v>104.3</v>
      </c>
      <c r="E6" s="436">
        <v>105.08</v>
      </c>
      <c r="F6" s="436">
        <v>101.18</v>
      </c>
      <c r="J6" s="461"/>
      <c r="K6" s="461"/>
      <c r="L6" s="461"/>
    </row>
    <row r="7" spans="1:17">
      <c r="C7" s="15" t="s">
        <v>1462</v>
      </c>
      <c r="D7" s="436">
        <v>110.19</v>
      </c>
      <c r="E7" s="436">
        <v>111.1</v>
      </c>
      <c r="F7" s="436">
        <v>106.2</v>
      </c>
      <c r="I7" s="15" t="s">
        <v>1631</v>
      </c>
      <c r="J7" s="461"/>
      <c r="K7" s="461"/>
      <c r="L7" s="461"/>
    </row>
    <row r="8" spans="1:17">
      <c r="C8" s="15" t="s">
        <v>1055</v>
      </c>
      <c r="D8" s="436">
        <v>124.92</v>
      </c>
      <c r="E8" s="436">
        <v>126.13</v>
      </c>
      <c r="F8" s="436">
        <v>116.25</v>
      </c>
      <c r="I8" s="15" t="s">
        <v>1635</v>
      </c>
      <c r="J8" s="461">
        <v>10.62</v>
      </c>
      <c r="K8" s="461">
        <v>9.5</v>
      </c>
      <c r="L8" s="461">
        <v>5.49</v>
      </c>
    </row>
    <row r="9" spans="1:17">
      <c r="C9" s="15" t="s">
        <v>1463</v>
      </c>
      <c r="D9" s="436">
        <v>130.81</v>
      </c>
      <c r="E9" s="436">
        <v>132.13999999999999</v>
      </c>
      <c r="F9" s="436">
        <v>119.05</v>
      </c>
      <c r="I9" s="15" t="s">
        <v>1629</v>
      </c>
      <c r="J9" s="461">
        <v>7.19</v>
      </c>
      <c r="K9" s="461">
        <v>7.34</v>
      </c>
      <c r="L9" s="461">
        <v>4.2699999999999996</v>
      </c>
    </row>
    <row r="10" spans="1:17">
      <c r="C10" s="15" t="s">
        <v>1636</v>
      </c>
      <c r="D10" s="436">
        <v>133.76</v>
      </c>
      <c r="E10" s="436">
        <v>135.15</v>
      </c>
      <c r="F10" s="436">
        <v>121.25</v>
      </c>
      <c r="I10" s="15" t="s">
        <v>1630</v>
      </c>
      <c r="J10" s="461">
        <v>7.19</v>
      </c>
      <c r="K10" s="461">
        <v>7.34</v>
      </c>
      <c r="L10" s="461">
        <v>4.2699999999999996</v>
      </c>
    </row>
    <row r="11" spans="1:17">
      <c r="D11" s="436"/>
      <c r="E11" s="436"/>
      <c r="F11" s="436"/>
      <c r="J11" s="461"/>
      <c r="K11" s="461"/>
      <c r="L11" s="461"/>
    </row>
    <row r="12" spans="1:17">
      <c r="C12" s="15"/>
      <c r="D12" s="436"/>
      <c r="E12" s="436"/>
      <c r="F12" s="436"/>
      <c r="I12" s="15" t="s">
        <v>1632</v>
      </c>
      <c r="J12" s="461"/>
      <c r="K12" s="461"/>
      <c r="L12" s="461"/>
    </row>
    <row r="13" spans="1:17">
      <c r="C13" s="15"/>
      <c r="D13" s="436"/>
      <c r="E13" s="436"/>
      <c r="F13" s="436"/>
      <c r="I13" s="15" t="s">
        <v>1635</v>
      </c>
      <c r="J13" s="461">
        <v>35.4</v>
      </c>
      <c r="K13" s="461">
        <v>31.67</v>
      </c>
      <c r="L13" s="461">
        <v>28.35</v>
      </c>
      <c r="N13" s="15"/>
      <c r="O13" s="436"/>
      <c r="P13" s="436"/>
      <c r="Q13" s="436"/>
    </row>
    <row r="14" spans="1:17">
      <c r="C14" s="15"/>
      <c r="D14" s="436"/>
      <c r="E14" s="436"/>
      <c r="F14" s="436"/>
      <c r="I14" s="15" t="s">
        <v>1629</v>
      </c>
      <c r="J14" s="461">
        <v>35.94</v>
      </c>
      <c r="K14" s="461">
        <v>36.68</v>
      </c>
      <c r="L14" s="461">
        <v>30.65</v>
      </c>
      <c r="N14" s="15"/>
      <c r="O14" s="436"/>
      <c r="P14" s="436"/>
      <c r="Q14" s="436"/>
    </row>
    <row r="15" spans="1:17">
      <c r="C15" s="15"/>
      <c r="D15" s="436"/>
      <c r="E15" s="436"/>
      <c r="F15" s="436"/>
      <c r="I15" s="15" t="s">
        <v>1630</v>
      </c>
      <c r="J15" s="461">
        <v>35.94</v>
      </c>
      <c r="K15" s="461">
        <v>36.68</v>
      </c>
      <c r="L15" s="461">
        <v>30.65</v>
      </c>
      <c r="N15" s="15"/>
      <c r="O15" s="436"/>
      <c r="P15" s="436"/>
      <c r="Q15" s="436"/>
    </row>
    <row r="16" spans="1:17">
      <c r="C16" s="15"/>
      <c r="D16" s="436"/>
      <c r="E16" s="436"/>
      <c r="F16" s="436"/>
      <c r="J16" s="461"/>
      <c r="K16" s="461"/>
      <c r="L16" s="461"/>
      <c r="N16" s="15"/>
      <c r="O16" s="436"/>
      <c r="P16" s="436"/>
      <c r="Q16" s="436"/>
    </row>
    <row r="17" spans="3:17">
      <c r="C17" s="15"/>
      <c r="D17" s="436"/>
      <c r="E17" s="436"/>
      <c r="F17" s="436"/>
      <c r="I17" s="15" t="s">
        <v>1633</v>
      </c>
      <c r="J17" s="461"/>
      <c r="K17" s="461"/>
      <c r="L17" s="461"/>
      <c r="N17" s="15"/>
      <c r="O17" s="436"/>
      <c r="P17" s="436"/>
      <c r="Q17" s="436"/>
    </row>
    <row r="18" spans="3:17">
      <c r="C18" s="15"/>
      <c r="D18" s="436"/>
      <c r="E18" s="436"/>
      <c r="F18" s="436"/>
      <c r="I18" s="15" t="s">
        <v>1635</v>
      </c>
      <c r="J18" s="461">
        <v>70.8</v>
      </c>
      <c r="K18" s="461">
        <v>63.34</v>
      </c>
      <c r="L18" s="461">
        <v>56.69</v>
      </c>
      <c r="N18" s="15"/>
      <c r="O18" s="436"/>
      <c r="P18" s="436"/>
      <c r="Q18" s="436"/>
    </row>
    <row r="19" spans="3:17">
      <c r="C19" s="15"/>
      <c r="D19" s="436"/>
      <c r="E19" s="436"/>
      <c r="F19" s="436"/>
      <c r="I19" s="15" t="s">
        <v>1629</v>
      </c>
      <c r="J19" s="461">
        <v>71.88</v>
      </c>
      <c r="K19" s="461">
        <v>73.36</v>
      </c>
      <c r="L19" s="461">
        <v>61.31</v>
      </c>
      <c r="N19" s="15"/>
      <c r="O19" s="436"/>
      <c r="P19" s="436"/>
      <c r="Q19" s="436"/>
    </row>
    <row r="20" spans="3:17">
      <c r="D20" s="436"/>
      <c r="E20" s="436"/>
      <c r="F20" s="436"/>
      <c r="I20" s="15" t="s">
        <v>1630</v>
      </c>
      <c r="J20" s="461">
        <v>71.88</v>
      </c>
      <c r="K20" s="461">
        <v>73.36</v>
      </c>
      <c r="L20" s="461">
        <v>61.31</v>
      </c>
      <c r="N20" s="15"/>
      <c r="O20" s="436"/>
      <c r="P20" s="436"/>
      <c r="Q20" s="436"/>
    </row>
    <row r="21" spans="3:17">
      <c r="C21" s="15"/>
      <c r="D21" s="436"/>
      <c r="E21" s="436"/>
      <c r="F21" s="436"/>
      <c r="J21" s="461"/>
      <c r="K21" s="461"/>
      <c r="L21" s="461"/>
    </row>
    <row r="22" spans="3:17">
      <c r="C22" s="15"/>
      <c r="D22" s="436"/>
      <c r="E22" s="436"/>
      <c r="F22" s="436"/>
      <c r="I22" s="15" t="s">
        <v>1634</v>
      </c>
      <c r="J22" s="461"/>
      <c r="K22" s="461"/>
      <c r="L22" s="461"/>
    </row>
    <row r="23" spans="3:17">
      <c r="C23" s="15"/>
      <c r="D23" s="436"/>
      <c r="E23" s="436"/>
      <c r="F23" s="436"/>
      <c r="I23" s="15" t="s">
        <v>1635</v>
      </c>
      <c r="J23" s="461">
        <v>70.8</v>
      </c>
      <c r="K23" s="461">
        <v>63.34</v>
      </c>
      <c r="L23" s="461">
        <v>56.69</v>
      </c>
    </row>
    <row r="24" spans="3:17">
      <c r="C24" s="15"/>
      <c r="D24" s="436"/>
      <c r="E24" s="436"/>
      <c r="F24" s="436"/>
      <c r="I24" s="15" t="s">
        <v>1629</v>
      </c>
      <c r="J24" s="461">
        <v>71.88</v>
      </c>
      <c r="K24" s="461">
        <v>73.36</v>
      </c>
      <c r="L24" s="461">
        <v>61.31</v>
      </c>
    </row>
    <row r="25" spans="3:17">
      <c r="C25" s="15"/>
      <c r="D25" s="436"/>
      <c r="E25" s="436"/>
      <c r="F25" s="436"/>
      <c r="I25" s="15" t="s">
        <v>1630</v>
      </c>
      <c r="J25" s="461">
        <v>71.88</v>
      </c>
      <c r="K25" s="461">
        <v>73.36</v>
      </c>
      <c r="L25" s="461">
        <v>61.31</v>
      </c>
    </row>
    <row r="26" spans="3:17">
      <c r="C26" s="15"/>
      <c r="D26" s="436"/>
      <c r="E26" s="436"/>
      <c r="F26" s="436"/>
    </row>
    <row r="27" spans="3:17">
      <c r="C27" s="15"/>
      <c r="D27" s="436"/>
      <c r="E27" s="436"/>
      <c r="F27" s="436"/>
    </row>
    <row r="28" spans="3:17">
      <c r="C28" s="15"/>
      <c r="D28" s="436"/>
      <c r="E28" s="436"/>
      <c r="F28" s="436"/>
    </row>
    <row r="29" spans="3:17">
      <c r="D29" s="436"/>
      <c r="E29" s="436"/>
      <c r="F29" s="436"/>
    </row>
    <row r="30" spans="3:17">
      <c r="C30" s="15"/>
      <c r="D30" s="436"/>
      <c r="E30" s="436"/>
      <c r="F30" s="436"/>
    </row>
    <row r="31" spans="3:17">
      <c r="C31" s="15"/>
      <c r="D31" s="436"/>
      <c r="E31" s="436"/>
      <c r="F31" s="436"/>
    </row>
    <row r="32" spans="3:17">
      <c r="C32" s="15"/>
      <c r="D32" s="436"/>
      <c r="E32" s="436"/>
      <c r="F32" s="436"/>
    </row>
    <row r="33" spans="3:6">
      <c r="C33" s="15"/>
      <c r="D33" s="436"/>
      <c r="E33" s="436"/>
      <c r="F33" s="436"/>
    </row>
    <row r="34" spans="3:6">
      <c r="C34" s="15"/>
      <c r="D34" s="436"/>
      <c r="E34" s="436"/>
      <c r="F34" s="436"/>
    </row>
    <row r="35" spans="3:6">
      <c r="C35" s="15"/>
      <c r="D35" s="436"/>
      <c r="E35" s="436"/>
      <c r="F35" s="436"/>
    </row>
    <row r="36" spans="3:6">
      <c r="C36" s="15"/>
      <c r="D36" s="436"/>
      <c r="E36" s="436"/>
      <c r="F36" s="436"/>
    </row>
    <row r="37" spans="3:6">
      <c r="C37" s="15"/>
      <c r="D37" s="436"/>
      <c r="E37" s="436"/>
      <c r="F37" s="436"/>
    </row>
    <row r="38" spans="3:6">
      <c r="D38" s="436"/>
      <c r="E38" s="436"/>
      <c r="F38" s="436"/>
    </row>
    <row r="39" spans="3:6">
      <c r="C39" s="15"/>
      <c r="D39" s="436"/>
      <c r="E39" s="436"/>
      <c r="F39" s="436"/>
    </row>
    <row r="40" spans="3:6">
      <c r="C40" s="15"/>
      <c r="D40" s="436"/>
      <c r="E40" s="436"/>
      <c r="F40" s="436"/>
    </row>
    <row r="41" spans="3:6">
      <c r="C41" s="15"/>
      <c r="D41" s="436"/>
      <c r="E41" s="436"/>
      <c r="F41" s="436"/>
    </row>
    <row r="42" spans="3:6">
      <c r="C42" s="15"/>
      <c r="D42" s="436"/>
      <c r="E42" s="436"/>
      <c r="F42" s="436"/>
    </row>
    <row r="43" spans="3:6">
      <c r="C43" s="15"/>
      <c r="D43" s="436"/>
      <c r="E43" s="436"/>
      <c r="F43" s="436"/>
    </row>
    <row r="44" spans="3:6">
      <c r="C44" s="15"/>
      <c r="D44" s="436"/>
      <c r="E44" s="436"/>
      <c r="F44" s="436"/>
    </row>
    <row r="45" spans="3:6">
      <c r="C45" s="15"/>
      <c r="D45" s="436"/>
      <c r="E45" s="436"/>
      <c r="F45" s="436"/>
    </row>
    <row r="46" spans="3:6">
      <c r="C46" s="15"/>
      <c r="D46" s="436"/>
      <c r="E46" s="436"/>
      <c r="F46" s="436"/>
    </row>
    <row r="47" spans="3:6">
      <c r="D47" s="436"/>
      <c r="E47" s="436"/>
      <c r="F47" s="436"/>
    </row>
    <row r="48" spans="3:6">
      <c r="C48" s="15"/>
      <c r="D48" s="436"/>
      <c r="E48" s="436"/>
      <c r="F48" s="436"/>
    </row>
    <row r="49" spans="3:6">
      <c r="C49" s="15"/>
      <c r="D49" s="436"/>
      <c r="E49" s="436"/>
      <c r="F49" s="436"/>
    </row>
    <row r="50" spans="3:6">
      <c r="C50" s="15"/>
      <c r="D50" s="436"/>
      <c r="E50" s="436"/>
      <c r="F50" s="436"/>
    </row>
    <row r="51" spans="3:6">
      <c r="C51" s="15"/>
      <c r="D51" s="436"/>
      <c r="E51" s="436"/>
      <c r="F51" s="436"/>
    </row>
    <row r="52" spans="3:6">
      <c r="C52" s="15"/>
      <c r="D52" s="436"/>
      <c r="E52" s="436"/>
      <c r="F52" s="436"/>
    </row>
    <row r="53" spans="3:6">
      <c r="C53" s="15"/>
      <c r="D53" s="436"/>
      <c r="E53" s="436"/>
      <c r="F53" s="436"/>
    </row>
    <row r="54" spans="3:6">
      <c r="C54" s="15"/>
      <c r="D54" s="436"/>
      <c r="E54" s="436"/>
      <c r="F54" s="43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D228"/>
  <sheetViews>
    <sheetView tabSelected="1" zoomScale="85" zoomScaleNormal="85" workbookViewId="0">
      <pane xSplit="2" ySplit="5" topLeftCell="C26" activePane="bottomRight" state="frozen"/>
      <selection pane="topRight" activeCell="C1" sqref="C1"/>
      <selection pane="bottomLeft" activeCell="A6" sqref="A6"/>
      <selection pane="bottomRight" activeCell="B27" sqref="B27"/>
    </sheetView>
  </sheetViews>
  <sheetFormatPr defaultColWidth="0" defaultRowHeight="12.75"/>
  <cols>
    <col min="1" max="1" width="7.140625" style="147" bestFit="1" customWidth="1"/>
    <col min="2" max="2" width="46.7109375" style="162" customWidth="1"/>
    <col min="3" max="3" width="12.140625" style="162" customWidth="1"/>
    <col min="4" max="4" width="13.7109375" style="139" bestFit="1" customWidth="1"/>
    <col min="5" max="5" width="16.140625" style="144" customWidth="1"/>
    <col min="6" max="6" width="12.5703125" style="144" bestFit="1" customWidth="1"/>
    <col min="7" max="7" width="11.7109375" style="144" customWidth="1"/>
    <col min="8" max="8" width="10.5703125" style="147" bestFit="1" customWidth="1"/>
    <col min="9" max="9" width="28.5703125" style="162" customWidth="1"/>
    <col min="10" max="10" width="11.140625" style="147" customWidth="1"/>
    <col min="11" max="11" width="9.140625" style="147" customWidth="1"/>
    <col min="12" max="13" width="12.42578125" style="144" customWidth="1"/>
    <col min="14" max="14" width="15.7109375" style="144" customWidth="1"/>
    <col min="15" max="15" width="13.7109375" style="144" customWidth="1"/>
    <col min="16" max="39" width="8" style="139" customWidth="1"/>
    <col min="40" max="40" width="10" style="139" bestFit="1" customWidth="1"/>
    <col min="41" max="41" width="11.42578125" style="139" customWidth="1"/>
    <col min="42" max="42" width="6.85546875" style="139" customWidth="1"/>
    <col min="43" max="43" width="9.140625" style="139" customWidth="1"/>
    <col min="44" max="44" width="20.42578125" style="139" customWidth="1"/>
    <col min="45" max="45" width="14.85546875" style="139" customWidth="1"/>
    <col min="46" max="46" width="14.28515625" style="139" hidden="1" customWidth="1"/>
    <col min="47" max="47" width="9.140625" style="139" hidden="1" customWidth="1"/>
    <col min="48" max="48" width="16.5703125" style="139" hidden="1" customWidth="1"/>
    <col min="49" max="53" width="9.140625" style="139" hidden="1" customWidth="1"/>
    <col min="54" max="56" width="29.42578125" style="139" hidden="1" customWidth="1"/>
    <col min="57" max="16384" width="9.140625" style="139" hidden="1"/>
  </cols>
  <sheetData>
    <row r="1" spans="1:54" ht="15.75">
      <c r="A1" s="142"/>
      <c r="B1" s="143" t="s">
        <v>768</v>
      </c>
      <c r="C1" s="652">
        <f ca="1">YEAR(TODAY())</f>
        <v>2025</v>
      </c>
      <c r="D1" s="652"/>
      <c r="E1" s="652"/>
      <c r="F1" s="652"/>
      <c r="H1" s="145"/>
      <c r="I1" s="146" t="s">
        <v>1190</v>
      </c>
      <c r="J1" s="138"/>
      <c r="L1"/>
      <c r="M1"/>
      <c r="N1"/>
    </row>
    <row r="2" spans="1:54" ht="15.75">
      <c r="A2" s="142"/>
      <c r="B2" s="148" t="s">
        <v>141</v>
      </c>
      <c r="C2" s="653" t="str">
        <f>IF('SINGLE YEAR BOOKING SHEET'!K5=0,"",'SINGLE YEAR BOOKING SHEET'!K5)</f>
        <v/>
      </c>
      <c r="D2" s="653"/>
      <c r="E2" s="653"/>
      <c r="F2" s="653"/>
      <c r="G2" s="149"/>
      <c r="H2" s="150"/>
      <c r="I2" s="140" t="s">
        <v>1171</v>
      </c>
      <c r="J2" s="138"/>
      <c r="K2" s="139"/>
      <c r="L2"/>
      <c r="M2"/>
      <c r="N2"/>
      <c r="O2" s="139"/>
      <c r="AR2" s="139" t="s">
        <v>1467</v>
      </c>
    </row>
    <row r="3" spans="1:54" ht="16.5" thickBot="1">
      <c r="A3" s="142"/>
      <c r="B3" s="148" t="s">
        <v>142</v>
      </c>
      <c r="C3" s="653" t="str">
        <f>IF('SINGLE YEAR BOOKING SHEET'!E8=0,"",'SINGLE YEAR BOOKING SHEET'!E8)</f>
        <v/>
      </c>
      <c r="D3" s="653"/>
      <c r="E3" s="653"/>
      <c r="F3" s="653"/>
      <c r="G3" s="149"/>
      <c r="H3" s="151"/>
      <c r="I3" s="140" t="s">
        <v>1191</v>
      </c>
      <c r="J3" s="138"/>
      <c r="K3" s="139"/>
      <c r="L3" s="139"/>
      <c r="M3" s="139"/>
      <c r="N3" s="139"/>
      <c r="O3" s="139"/>
      <c r="P3" s="152"/>
      <c r="Q3" s="152"/>
      <c r="R3" s="152"/>
      <c r="S3" s="152"/>
      <c r="T3" s="152"/>
      <c r="U3" s="152"/>
      <c r="V3" s="152"/>
      <c r="W3" s="152"/>
      <c r="X3" s="152"/>
      <c r="Y3" s="152"/>
      <c r="Z3" s="152"/>
      <c r="AA3" s="152"/>
      <c r="AB3" s="152"/>
      <c r="AC3" s="152"/>
      <c r="AD3" s="152"/>
      <c r="AE3" s="152"/>
      <c r="AF3" s="152"/>
      <c r="AG3" s="152"/>
      <c r="AH3" s="152"/>
      <c r="AI3" s="152"/>
      <c r="AJ3" s="152"/>
      <c r="AK3" s="152"/>
      <c r="AL3" s="152"/>
      <c r="AM3" s="152"/>
      <c r="AN3" s="152"/>
      <c r="AO3" s="152"/>
      <c r="AP3" s="152"/>
      <c r="AR3" s="139" t="s">
        <v>1468</v>
      </c>
    </row>
    <row r="4" spans="1:54" ht="16.5" thickBot="1">
      <c r="A4" s="142"/>
      <c r="B4" s="148" t="s">
        <v>140</v>
      </c>
      <c r="C4" s="654" t="str">
        <f>IF('SINGLE YEAR BOOKING SHEET'!D5=0,"",'SINGLE YEAR BOOKING SHEET'!D5)</f>
        <v/>
      </c>
      <c r="D4" s="654"/>
      <c r="E4" s="654"/>
      <c r="F4" s="654"/>
      <c r="G4" s="153"/>
      <c r="H4" s="144"/>
      <c r="I4" s="144"/>
      <c r="J4" s="657" t="s">
        <v>786</v>
      </c>
      <c r="K4" s="657"/>
      <c r="P4" s="655" t="s">
        <v>105</v>
      </c>
      <c r="Q4" s="656"/>
      <c r="R4" s="655" t="s">
        <v>1643</v>
      </c>
      <c r="S4" s="656"/>
      <c r="T4" s="655" t="s">
        <v>107</v>
      </c>
      <c r="U4" s="656"/>
      <c r="V4" s="655" t="s">
        <v>108</v>
      </c>
      <c r="W4" s="656"/>
      <c r="X4" s="655" t="s">
        <v>109</v>
      </c>
      <c r="Y4" s="656"/>
      <c r="Z4" s="655" t="s">
        <v>110</v>
      </c>
      <c r="AA4" s="656"/>
      <c r="AB4" s="658" t="s">
        <v>111</v>
      </c>
      <c r="AC4" s="659"/>
      <c r="AD4" s="658" t="s">
        <v>112</v>
      </c>
      <c r="AE4" s="659"/>
      <c r="AF4" s="658" t="s">
        <v>113</v>
      </c>
      <c r="AG4" s="659"/>
      <c r="AH4" s="658" t="s">
        <v>114</v>
      </c>
      <c r="AI4" s="659"/>
      <c r="AJ4" s="658" t="s">
        <v>115</v>
      </c>
      <c r="AK4" s="659"/>
      <c r="AL4" s="658" t="s">
        <v>116</v>
      </c>
      <c r="AM4" s="659"/>
      <c r="AN4" s="155" t="s">
        <v>1</v>
      </c>
      <c r="AO4" s="156"/>
    </row>
    <row r="5" spans="1:54" s="405" customFormat="1" ht="30" customHeight="1" thickBot="1">
      <c r="A5" s="399" t="s">
        <v>148</v>
      </c>
      <c r="B5" s="398" t="s">
        <v>118</v>
      </c>
      <c r="C5" s="400" t="s">
        <v>0</v>
      </c>
      <c r="D5" s="398" t="s">
        <v>138</v>
      </c>
      <c r="E5" s="398" t="s">
        <v>117</v>
      </c>
      <c r="F5" s="398" t="s">
        <v>139</v>
      </c>
      <c r="G5" s="398" t="s">
        <v>782</v>
      </c>
      <c r="H5" s="398" t="s">
        <v>147</v>
      </c>
      <c r="I5" s="398" t="s">
        <v>146</v>
      </c>
      <c r="J5" s="398" t="s">
        <v>1642</v>
      </c>
      <c r="K5" s="398" t="s">
        <v>1641</v>
      </c>
      <c r="L5" s="398" t="s">
        <v>144</v>
      </c>
      <c r="M5" s="398" t="s">
        <v>1761</v>
      </c>
      <c r="N5" s="398" t="s">
        <v>145</v>
      </c>
      <c r="O5" s="398" t="s">
        <v>1646</v>
      </c>
      <c r="P5" s="401" t="s">
        <v>6</v>
      </c>
      <c r="Q5" s="401" t="s">
        <v>1</v>
      </c>
      <c r="R5" s="401" t="s">
        <v>6</v>
      </c>
      <c r="S5" s="401" t="s">
        <v>1</v>
      </c>
      <c r="T5" s="401" t="s">
        <v>6</v>
      </c>
      <c r="U5" s="401" t="s">
        <v>1</v>
      </c>
      <c r="V5" s="401" t="s">
        <v>6</v>
      </c>
      <c r="W5" s="401" t="s">
        <v>1</v>
      </c>
      <c r="X5" s="401" t="s">
        <v>6</v>
      </c>
      <c r="Y5" s="401" t="s">
        <v>1</v>
      </c>
      <c r="Z5" s="401" t="s">
        <v>6</v>
      </c>
      <c r="AA5" s="401" t="s">
        <v>1</v>
      </c>
      <c r="AB5" s="398" t="s">
        <v>6</v>
      </c>
      <c r="AC5" s="398" t="s">
        <v>1</v>
      </c>
      <c r="AD5" s="398" t="s">
        <v>6</v>
      </c>
      <c r="AE5" s="398" t="s">
        <v>1</v>
      </c>
      <c r="AF5" s="398" t="s">
        <v>6</v>
      </c>
      <c r="AG5" s="398" t="s">
        <v>1</v>
      </c>
      <c r="AH5" s="398" t="s">
        <v>6</v>
      </c>
      <c r="AI5" s="398" t="s">
        <v>1</v>
      </c>
      <c r="AJ5" s="398" t="s">
        <v>6</v>
      </c>
      <c r="AK5" s="398" t="s">
        <v>1</v>
      </c>
      <c r="AL5" s="398" t="s">
        <v>6</v>
      </c>
      <c r="AM5" s="398" t="s">
        <v>1</v>
      </c>
      <c r="AN5" s="402" t="s">
        <v>6</v>
      </c>
      <c r="AO5" s="403"/>
      <c r="AP5" s="404"/>
      <c r="AQ5" s="404"/>
      <c r="AW5" s="406"/>
      <c r="AZ5" s="406"/>
      <c r="BA5" s="406"/>
      <c r="BB5" s="406"/>
    </row>
    <row r="6" spans="1:54" ht="13.5" thickTop="1">
      <c r="A6" s="106"/>
      <c r="B6" s="110"/>
      <c r="C6" s="110"/>
      <c r="D6" s="111"/>
      <c r="E6" s="107"/>
      <c r="F6" s="107"/>
      <c r="G6" s="107"/>
      <c r="H6" s="106"/>
      <c r="I6" s="110"/>
      <c r="J6" s="106"/>
      <c r="K6" s="106"/>
      <c r="L6" s="105"/>
      <c r="M6" s="105"/>
      <c r="N6" s="107"/>
      <c r="O6" s="105"/>
      <c r="P6" s="263"/>
      <c r="Q6" s="264">
        <f t="shared" ref="Q6:Q205" si="0">A6*P6</f>
        <v>0</v>
      </c>
      <c r="R6" s="263"/>
      <c r="S6" s="264">
        <f t="shared" ref="S6:S205" si="1">R6*A6</f>
        <v>0</v>
      </c>
      <c r="T6" s="263"/>
      <c r="U6" s="264">
        <f t="shared" ref="U6:U205" si="2">A6*T6</f>
        <v>0</v>
      </c>
      <c r="V6" s="263"/>
      <c r="W6" s="264">
        <f t="shared" ref="W6:W205" si="3">$A6*V6</f>
        <v>0</v>
      </c>
      <c r="X6" s="263"/>
      <c r="Y6" s="264">
        <f t="shared" ref="Y6:Y205" si="4">$A6*X6</f>
        <v>0</v>
      </c>
      <c r="Z6" s="263"/>
      <c r="AA6" s="264">
        <f t="shared" ref="AA6:AA205" si="5">$A6*Z6</f>
        <v>0</v>
      </c>
      <c r="AB6" s="263"/>
      <c r="AC6" s="264">
        <f t="shared" ref="AC6:AC205" si="6">$A6*AB6</f>
        <v>0</v>
      </c>
      <c r="AD6" s="263"/>
      <c r="AE6" s="264">
        <f t="shared" ref="AE6:AE205" si="7">$A6*AD6</f>
        <v>0</v>
      </c>
      <c r="AF6" s="263"/>
      <c r="AG6" s="264">
        <f t="shared" ref="AG6:AG205" si="8">$A6*AF6</f>
        <v>0</v>
      </c>
      <c r="AH6" s="263"/>
      <c r="AI6" s="264">
        <f t="shared" ref="AI6:AI205" si="9">$A6*AH6</f>
        <v>0</v>
      </c>
      <c r="AJ6" s="263"/>
      <c r="AK6" s="264">
        <f t="shared" ref="AK6:AK205" si="10">$A6*AJ6</f>
        <v>0</v>
      </c>
      <c r="AL6" s="263"/>
      <c r="AM6" s="264">
        <f t="shared" ref="AM6:AM205" si="11">$A6*AL6</f>
        <v>0</v>
      </c>
      <c r="AN6" s="265">
        <f t="shared" ref="AN6:AN205" si="12">SUM(Q6+S6+U6+W6+Y6+AA6+AC6+AE6+AG6+AI6+AK6+AM6)</f>
        <v>0</v>
      </c>
      <c r="AO6" s="266"/>
      <c r="AP6" s="158"/>
    </row>
    <row r="7" spans="1:54">
      <c r="A7" s="106"/>
      <c r="B7" s="110"/>
      <c r="C7" s="110"/>
      <c r="D7" s="111"/>
      <c r="E7" s="107"/>
      <c r="F7" s="107"/>
      <c r="G7" s="107"/>
      <c r="H7" s="106"/>
      <c r="I7" s="110"/>
      <c r="J7" s="106"/>
      <c r="K7" s="106"/>
      <c r="L7" s="105"/>
      <c r="M7" s="105"/>
      <c r="N7" s="107"/>
      <c r="O7" s="105"/>
      <c r="P7" s="263"/>
      <c r="Q7" s="264">
        <f t="shared" si="0"/>
        <v>0</v>
      </c>
      <c r="R7" s="263"/>
      <c r="S7" s="264">
        <f t="shared" si="1"/>
        <v>0</v>
      </c>
      <c r="T7" s="263"/>
      <c r="U7" s="264">
        <f t="shared" si="2"/>
        <v>0</v>
      </c>
      <c r="V7" s="263"/>
      <c r="W7" s="264">
        <f t="shared" si="3"/>
        <v>0</v>
      </c>
      <c r="X7" s="263"/>
      <c r="Y7" s="264">
        <f t="shared" si="4"/>
        <v>0</v>
      </c>
      <c r="Z7" s="263"/>
      <c r="AA7" s="264">
        <f t="shared" si="5"/>
        <v>0</v>
      </c>
      <c r="AB7" s="263"/>
      <c r="AC7" s="264">
        <f t="shared" si="6"/>
        <v>0</v>
      </c>
      <c r="AD7" s="263"/>
      <c r="AE7" s="264">
        <f t="shared" si="7"/>
        <v>0</v>
      </c>
      <c r="AF7" s="263"/>
      <c r="AG7" s="264">
        <f t="shared" si="8"/>
        <v>0</v>
      </c>
      <c r="AH7" s="263"/>
      <c r="AI7" s="264">
        <f t="shared" si="9"/>
        <v>0</v>
      </c>
      <c r="AJ7" s="263"/>
      <c r="AK7" s="264">
        <f t="shared" si="10"/>
        <v>0</v>
      </c>
      <c r="AL7" s="263"/>
      <c r="AM7" s="264">
        <f t="shared" si="11"/>
        <v>0</v>
      </c>
      <c r="AN7" s="267">
        <f t="shared" si="12"/>
        <v>0</v>
      </c>
      <c r="AO7" s="268"/>
      <c r="AP7" s="158"/>
    </row>
    <row r="8" spans="1:54">
      <c r="A8" s="106"/>
      <c r="B8" s="110"/>
      <c r="C8" s="110"/>
      <c r="D8" s="111"/>
      <c r="E8" s="107"/>
      <c r="F8" s="107"/>
      <c r="G8" s="107"/>
      <c r="H8" s="106"/>
      <c r="I8" s="110"/>
      <c r="J8" s="106"/>
      <c r="K8" s="106"/>
      <c r="L8" s="105"/>
      <c r="M8" s="105"/>
      <c r="N8" s="107"/>
      <c r="O8" s="105"/>
      <c r="P8" s="263"/>
      <c r="Q8" s="264">
        <f t="shared" si="0"/>
        <v>0</v>
      </c>
      <c r="R8" s="263"/>
      <c r="S8" s="264">
        <f t="shared" si="1"/>
        <v>0</v>
      </c>
      <c r="T8" s="263"/>
      <c r="U8" s="264">
        <f t="shared" si="2"/>
        <v>0</v>
      </c>
      <c r="V8" s="263"/>
      <c r="W8" s="264">
        <f t="shared" si="3"/>
        <v>0</v>
      </c>
      <c r="X8" s="263"/>
      <c r="Y8" s="264">
        <f t="shared" si="4"/>
        <v>0</v>
      </c>
      <c r="Z8" s="263"/>
      <c r="AA8" s="264">
        <f t="shared" si="5"/>
        <v>0</v>
      </c>
      <c r="AB8" s="263"/>
      <c r="AC8" s="264">
        <f t="shared" si="6"/>
        <v>0</v>
      </c>
      <c r="AD8" s="263"/>
      <c r="AE8" s="264">
        <f t="shared" si="7"/>
        <v>0</v>
      </c>
      <c r="AF8" s="263"/>
      <c r="AG8" s="264">
        <f t="shared" si="8"/>
        <v>0</v>
      </c>
      <c r="AH8" s="263"/>
      <c r="AI8" s="264">
        <f t="shared" si="9"/>
        <v>0</v>
      </c>
      <c r="AJ8" s="263"/>
      <c r="AK8" s="264">
        <f t="shared" si="10"/>
        <v>0</v>
      </c>
      <c r="AL8" s="263"/>
      <c r="AM8" s="264">
        <f t="shared" si="11"/>
        <v>0</v>
      </c>
      <c r="AN8" s="267">
        <f t="shared" si="12"/>
        <v>0</v>
      </c>
      <c r="AO8" s="268"/>
      <c r="AP8" s="158"/>
    </row>
    <row r="9" spans="1:54">
      <c r="A9" s="106"/>
      <c r="B9" s="157"/>
      <c r="C9" s="157"/>
      <c r="D9" s="104"/>
      <c r="E9" s="105"/>
      <c r="F9" s="105"/>
      <c r="G9" s="105"/>
      <c r="H9" s="103"/>
      <c r="I9" s="157"/>
      <c r="J9" s="103"/>
      <c r="K9" s="103"/>
      <c r="L9" s="105"/>
      <c r="M9" s="105"/>
      <c r="N9" s="107"/>
      <c r="O9" s="105"/>
      <c r="P9" s="263"/>
      <c r="Q9" s="264">
        <f t="shared" si="0"/>
        <v>0</v>
      </c>
      <c r="R9" s="263"/>
      <c r="S9" s="264">
        <f t="shared" si="1"/>
        <v>0</v>
      </c>
      <c r="T9" s="263"/>
      <c r="U9" s="264">
        <f t="shared" si="2"/>
        <v>0</v>
      </c>
      <c r="V9" s="263"/>
      <c r="W9" s="264">
        <f t="shared" si="3"/>
        <v>0</v>
      </c>
      <c r="X9" s="263"/>
      <c r="Y9" s="264">
        <f t="shared" si="4"/>
        <v>0</v>
      </c>
      <c r="Z9" s="263"/>
      <c r="AA9" s="264">
        <f t="shared" si="5"/>
        <v>0</v>
      </c>
      <c r="AB9" s="263"/>
      <c r="AC9" s="264">
        <f t="shared" si="6"/>
        <v>0</v>
      </c>
      <c r="AD9" s="263"/>
      <c r="AE9" s="264">
        <f t="shared" si="7"/>
        <v>0</v>
      </c>
      <c r="AF9" s="263"/>
      <c r="AG9" s="264">
        <f t="shared" si="8"/>
        <v>0</v>
      </c>
      <c r="AH9" s="263"/>
      <c r="AI9" s="264">
        <f t="shared" si="9"/>
        <v>0</v>
      </c>
      <c r="AJ9" s="263"/>
      <c r="AK9" s="264">
        <f t="shared" si="10"/>
        <v>0</v>
      </c>
      <c r="AL9" s="263"/>
      <c r="AM9" s="264">
        <f t="shared" si="11"/>
        <v>0</v>
      </c>
      <c r="AN9" s="267">
        <f t="shared" si="12"/>
        <v>0</v>
      </c>
      <c r="AO9" s="268"/>
      <c r="AP9" s="158"/>
    </row>
    <row r="10" spans="1:54" thickBot="1">
      <c r="A10" s="106"/>
      <c r="B10" s="157"/>
      <c r="C10" s="157"/>
      <c r="D10" s="104"/>
      <c r="E10" s="105"/>
      <c r="F10" s="105"/>
      <c r="G10" s="105"/>
      <c r="H10" s="103"/>
      <c r="I10" s="157"/>
      <c r="J10" s="103"/>
      <c r="K10" s="103"/>
      <c r="L10" s="105"/>
      <c r="M10" s="105"/>
      <c r="N10" s="107"/>
      <c r="O10" s="105"/>
      <c r="P10" s="263"/>
      <c r="Q10" s="264">
        <f t="shared" si="0"/>
        <v>0</v>
      </c>
      <c r="R10" s="263"/>
      <c r="S10" s="264">
        <f t="shared" si="1"/>
        <v>0</v>
      </c>
      <c r="T10" s="263"/>
      <c r="U10" s="264">
        <f t="shared" si="2"/>
        <v>0</v>
      </c>
      <c r="V10" s="263"/>
      <c r="W10" s="264">
        <f t="shared" si="3"/>
        <v>0</v>
      </c>
      <c r="X10" s="263"/>
      <c r="Y10" s="264">
        <f t="shared" si="4"/>
        <v>0</v>
      </c>
      <c r="Z10" s="263"/>
      <c r="AA10" s="264">
        <f t="shared" si="5"/>
        <v>0</v>
      </c>
      <c r="AB10" s="263"/>
      <c r="AC10" s="264">
        <f t="shared" si="6"/>
        <v>0</v>
      </c>
      <c r="AD10" s="263"/>
      <c r="AE10" s="264">
        <f t="shared" si="7"/>
        <v>0</v>
      </c>
      <c r="AF10" s="263"/>
      <c r="AG10" s="264">
        <f t="shared" si="8"/>
        <v>0</v>
      </c>
      <c r="AH10" s="263"/>
      <c r="AI10" s="264">
        <f t="shared" si="9"/>
        <v>0</v>
      </c>
      <c r="AJ10" s="263"/>
      <c r="AK10" s="264">
        <f t="shared" si="10"/>
        <v>0</v>
      </c>
      <c r="AL10" s="263"/>
      <c r="AM10" s="264">
        <f t="shared" si="11"/>
        <v>0</v>
      </c>
      <c r="AN10" s="267">
        <f t="shared" si="12"/>
        <v>0</v>
      </c>
      <c r="AO10" s="268"/>
      <c r="AP10" s="158"/>
    </row>
    <row r="11" spans="1:54" thickBot="1">
      <c r="A11" s="106"/>
      <c r="B11" s="157"/>
      <c r="C11" s="157"/>
      <c r="D11" s="104"/>
      <c r="E11" s="105"/>
      <c r="F11" s="105"/>
      <c r="G11" s="105"/>
      <c r="H11" s="103"/>
      <c r="I11" s="157"/>
      <c r="J11" s="103"/>
      <c r="K11" s="103"/>
      <c r="L11" s="105"/>
      <c r="M11" s="105"/>
      <c r="N11" s="107"/>
      <c r="O11" s="105"/>
      <c r="P11" s="263"/>
      <c r="Q11" s="264">
        <f t="shared" si="0"/>
        <v>0</v>
      </c>
      <c r="R11" s="263"/>
      <c r="S11" s="264">
        <f t="shared" si="1"/>
        <v>0</v>
      </c>
      <c r="T11" s="263"/>
      <c r="U11" s="264">
        <f t="shared" si="2"/>
        <v>0</v>
      </c>
      <c r="V11" s="263"/>
      <c r="W11" s="264">
        <f t="shared" si="3"/>
        <v>0</v>
      </c>
      <c r="X11" s="263"/>
      <c r="Y11" s="264">
        <f t="shared" si="4"/>
        <v>0</v>
      </c>
      <c r="Z11" s="263"/>
      <c r="AA11" s="264">
        <f t="shared" si="5"/>
        <v>0</v>
      </c>
      <c r="AB11" s="263"/>
      <c r="AC11" s="264">
        <f t="shared" si="6"/>
        <v>0</v>
      </c>
      <c r="AD11" s="263"/>
      <c r="AE11" s="264">
        <f t="shared" si="7"/>
        <v>0</v>
      </c>
      <c r="AF11" s="263"/>
      <c r="AG11" s="264">
        <f t="shared" si="8"/>
        <v>0</v>
      </c>
      <c r="AH11" s="263"/>
      <c r="AI11" s="264">
        <f t="shared" si="9"/>
        <v>0</v>
      </c>
      <c r="AJ11" s="263"/>
      <c r="AK11" s="264">
        <f t="shared" si="10"/>
        <v>0</v>
      </c>
      <c r="AL11" s="263"/>
      <c r="AM11" s="264">
        <f t="shared" si="11"/>
        <v>0</v>
      </c>
      <c r="AN11" s="267">
        <f t="shared" si="12"/>
        <v>0</v>
      </c>
      <c r="AO11" s="268"/>
      <c r="AP11" s="158"/>
    </row>
    <row r="12" spans="1:54" thickBot="1">
      <c r="A12" s="106"/>
      <c r="B12" s="157"/>
      <c r="C12" s="157"/>
      <c r="D12" s="104"/>
      <c r="E12" s="105"/>
      <c r="F12" s="105"/>
      <c r="G12" s="105"/>
      <c r="H12" s="103"/>
      <c r="I12" s="157"/>
      <c r="J12" s="103"/>
      <c r="K12" s="103"/>
      <c r="L12" s="105"/>
      <c r="M12" s="105"/>
      <c r="N12" s="107"/>
      <c r="O12" s="105"/>
      <c r="P12" s="263"/>
      <c r="Q12" s="264">
        <f t="shared" si="0"/>
        <v>0</v>
      </c>
      <c r="R12" s="263"/>
      <c r="S12" s="264">
        <f t="shared" si="1"/>
        <v>0</v>
      </c>
      <c r="T12" s="263"/>
      <c r="U12" s="264">
        <f t="shared" si="2"/>
        <v>0</v>
      </c>
      <c r="V12" s="263"/>
      <c r="W12" s="264">
        <f t="shared" si="3"/>
        <v>0</v>
      </c>
      <c r="X12" s="263"/>
      <c r="Y12" s="264">
        <f t="shared" si="4"/>
        <v>0</v>
      </c>
      <c r="Z12" s="263"/>
      <c r="AA12" s="264">
        <f t="shared" si="5"/>
        <v>0</v>
      </c>
      <c r="AB12" s="263"/>
      <c r="AC12" s="264">
        <f t="shared" si="6"/>
        <v>0</v>
      </c>
      <c r="AD12" s="263"/>
      <c r="AE12" s="264">
        <f t="shared" si="7"/>
        <v>0</v>
      </c>
      <c r="AF12" s="263"/>
      <c r="AG12" s="264">
        <f t="shared" si="8"/>
        <v>0</v>
      </c>
      <c r="AH12" s="263"/>
      <c r="AI12" s="264">
        <f t="shared" si="9"/>
        <v>0</v>
      </c>
      <c r="AJ12" s="263"/>
      <c r="AK12" s="264">
        <f t="shared" si="10"/>
        <v>0</v>
      </c>
      <c r="AL12" s="263"/>
      <c r="AM12" s="264">
        <f t="shared" si="11"/>
        <v>0</v>
      </c>
      <c r="AN12" s="267">
        <f t="shared" si="12"/>
        <v>0</v>
      </c>
      <c r="AO12" s="268"/>
      <c r="AP12" s="158"/>
    </row>
    <row r="13" spans="1:54" thickBot="1">
      <c r="A13" s="106"/>
      <c r="B13" s="157"/>
      <c r="C13" s="157"/>
      <c r="D13" s="104"/>
      <c r="E13" s="105"/>
      <c r="F13" s="105"/>
      <c r="G13" s="105"/>
      <c r="H13" s="103"/>
      <c r="I13" s="157"/>
      <c r="J13" s="103"/>
      <c r="K13" s="103"/>
      <c r="L13" s="105"/>
      <c r="M13" s="105"/>
      <c r="N13" s="107"/>
      <c r="O13" s="105"/>
      <c r="P13" s="263"/>
      <c r="Q13" s="264">
        <f t="shared" si="0"/>
        <v>0</v>
      </c>
      <c r="R13" s="263"/>
      <c r="S13" s="264">
        <f t="shared" si="1"/>
        <v>0</v>
      </c>
      <c r="T13" s="263"/>
      <c r="U13" s="264">
        <f t="shared" si="2"/>
        <v>0</v>
      </c>
      <c r="V13" s="263"/>
      <c r="W13" s="264">
        <f t="shared" si="3"/>
        <v>0</v>
      </c>
      <c r="X13" s="263"/>
      <c r="Y13" s="264">
        <f t="shared" si="4"/>
        <v>0</v>
      </c>
      <c r="Z13" s="263"/>
      <c r="AA13" s="264">
        <f t="shared" si="5"/>
        <v>0</v>
      </c>
      <c r="AB13" s="263"/>
      <c r="AC13" s="264">
        <f t="shared" si="6"/>
        <v>0</v>
      </c>
      <c r="AD13" s="263"/>
      <c r="AE13" s="264">
        <f t="shared" si="7"/>
        <v>0</v>
      </c>
      <c r="AF13" s="263"/>
      <c r="AG13" s="264">
        <f t="shared" si="8"/>
        <v>0</v>
      </c>
      <c r="AH13" s="263"/>
      <c r="AI13" s="264">
        <f t="shared" si="9"/>
        <v>0</v>
      </c>
      <c r="AJ13" s="263"/>
      <c r="AK13" s="264">
        <f t="shared" si="10"/>
        <v>0</v>
      </c>
      <c r="AL13" s="263"/>
      <c r="AM13" s="264">
        <f t="shared" si="11"/>
        <v>0</v>
      </c>
      <c r="AN13" s="267">
        <f t="shared" si="12"/>
        <v>0</v>
      </c>
      <c r="AO13" s="268"/>
      <c r="AP13" s="158"/>
    </row>
    <row r="14" spans="1:54" thickBot="1">
      <c r="A14" s="106"/>
      <c r="B14" s="157"/>
      <c r="C14" s="157"/>
      <c r="D14" s="104"/>
      <c r="E14" s="105"/>
      <c r="F14" s="105"/>
      <c r="G14" s="105"/>
      <c r="H14" s="103"/>
      <c r="I14" s="157"/>
      <c r="J14" s="103"/>
      <c r="K14" s="103"/>
      <c r="L14" s="105"/>
      <c r="M14" s="105"/>
      <c r="N14" s="107"/>
      <c r="O14" s="105"/>
      <c r="P14" s="263"/>
      <c r="Q14" s="264">
        <f t="shared" ref="Q14:Q77" si="13">A14*P14</f>
        <v>0</v>
      </c>
      <c r="R14" s="263"/>
      <c r="S14" s="264">
        <f t="shared" ref="S14:S77" si="14">R14*A14</f>
        <v>0</v>
      </c>
      <c r="T14" s="263"/>
      <c r="U14" s="264">
        <f t="shared" ref="U14:U77" si="15">A14*T14</f>
        <v>0</v>
      </c>
      <c r="V14" s="263"/>
      <c r="W14" s="264">
        <f t="shared" ref="W14:W77" si="16">$A14*V14</f>
        <v>0</v>
      </c>
      <c r="X14" s="263"/>
      <c r="Y14" s="264">
        <f t="shared" ref="Y14:Y77" si="17">$A14*X14</f>
        <v>0</v>
      </c>
      <c r="Z14" s="263"/>
      <c r="AA14" s="264">
        <f t="shared" ref="AA14:AA77" si="18">$A14*Z14</f>
        <v>0</v>
      </c>
      <c r="AB14" s="263"/>
      <c r="AC14" s="264">
        <f t="shared" ref="AC14:AC77" si="19">$A14*AB14</f>
        <v>0</v>
      </c>
      <c r="AD14" s="263"/>
      <c r="AE14" s="264">
        <f t="shared" ref="AE14:AE77" si="20">$A14*AD14</f>
        <v>0</v>
      </c>
      <c r="AF14" s="263"/>
      <c r="AG14" s="264">
        <f t="shared" ref="AG14:AG77" si="21">$A14*AF14</f>
        <v>0</v>
      </c>
      <c r="AH14" s="263"/>
      <c r="AI14" s="264">
        <f t="shared" ref="AI14:AI77" si="22">$A14*AH14</f>
        <v>0</v>
      </c>
      <c r="AJ14" s="263"/>
      <c r="AK14" s="264">
        <f t="shared" ref="AK14:AK77" si="23">$A14*AJ14</f>
        <v>0</v>
      </c>
      <c r="AL14" s="263"/>
      <c r="AM14" s="264">
        <f t="shared" ref="AM14:AM77" si="24">$A14*AL14</f>
        <v>0</v>
      </c>
      <c r="AN14" s="267">
        <f t="shared" ref="AN14:AN77" si="25">SUM(Q14+S14+U14+W14+Y14+AA14+AC14+AE14+AG14+AI14+AK14+AM14)</f>
        <v>0</v>
      </c>
      <c r="AO14" s="268"/>
      <c r="AP14" s="158"/>
    </row>
    <row r="15" spans="1:54" thickBot="1">
      <c r="A15" s="106"/>
      <c r="B15" s="157"/>
      <c r="C15" s="157"/>
      <c r="D15" s="104"/>
      <c r="E15" s="105"/>
      <c r="F15" s="105"/>
      <c r="G15" s="105"/>
      <c r="H15" s="103"/>
      <c r="I15" s="157"/>
      <c r="J15" s="103"/>
      <c r="K15" s="103"/>
      <c r="L15" s="105"/>
      <c r="M15" s="105"/>
      <c r="N15" s="107"/>
      <c r="O15" s="105"/>
      <c r="P15" s="263"/>
      <c r="Q15" s="264">
        <f t="shared" si="13"/>
        <v>0</v>
      </c>
      <c r="R15" s="263"/>
      <c r="S15" s="264">
        <f t="shared" si="14"/>
        <v>0</v>
      </c>
      <c r="T15" s="263"/>
      <c r="U15" s="264">
        <f t="shared" si="15"/>
        <v>0</v>
      </c>
      <c r="V15" s="263"/>
      <c r="W15" s="264">
        <f t="shared" si="16"/>
        <v>0</v>
      </c>
      <c r="X15" s="263"/>
      <c r="Y15" s="264">
        <f t="shared" si="17"/>
        <v>0</v>
      </c>
      <c r="Z15" s="263"/>
      <c r="AA15" s="264">
        <f t="shared" si="18"/>
        <v>0</v>
      </c>
      <c r="AB15" s="263"/>
      <c r="AC15" s="264">
        <f t="shared" si="19"/>
        <v>0</v>
      </c>
      <c r="AD15" s="263"/>
      <c r="AE15" s="264">
        <f t="shared" si="20"/>
        <v>0</v>
      </c>
      <c r="AF15" s="263"/>
      <c r="AG15" s="264">
        <f t="shared" si="21"/>
        <v>0</v>
      </c>
      <c r="AH15" s="263"/>
      <c r="AI15" s="264">
        <f t="shared" si="22"/>
        <v>0</v>
      </c>
      <c r="AJ15" s="263"/>
      <c r="AK15" s="264">
        <f t="shared" si="23"/>
        <v>0</v>
      </c>
      <c r="AL15" s="263"/>
      <c r="AM15" s="264">
        <f t="shared" si="24"/>
        <v>0</v>
      </c>
      <c r="AN15" s="267">
        <f t="shared" si="25"/>
        <v>0</v>
      </c>
      <c r="AO15" s="268"/>
      <c r="AP15" s="158"/>
    </row>
    <row r="16" spans="1:54" thickBot="1">
      <c r="A16" s="106"/>
      <c r="B16" s="157"/>
      <c r="C16" s="157"/>
      <c r="D16" s="104"/>
      <c r="E16" s="105"/>
      <c r="F16" s="105"/>
      <c r="G16" s="105"/>
      <c r="H16" s="103"/>
      <c r="I16" s="157"/>
      <c r="J16" s="103"/>
      <c r="K16" s="103"/>
      <c r="L16" s="105"/>
      <c r="M16" s="105"/>
      <c r="N16" s="107"/>
      <c r="O16" s="105"/>
      <c r="P16" s="263"/>
      <c r="Q16" s="264">
        <f t="shared" si="13"/>
        <v>0</v>
      </c>
      <c r="R16" s="263"/>
      <c r="S16" s="264">
        <f t="shared" si="14"/>
        <v>0</v>
      </c>
      <c r="T16" s="263"/>
      <c r="U16" s="264">
        <f t="shared" si="15"/>
        <v>0</v>
      </c>
      <c r="V16" s="263"/>
      <c r="W16" s="264">
        <f t="shared" si="16"/>
        <v>0</v>
      </c>
      <c r="X16" s="263"/>
      <c r="Y16" s="264">
        <f t="shared" si="17"/>
        <v>0</v>
      </c>
      <c r="Z16" s="263"/>
      <c r="AA16" s="264">
        <f t="shared" si="18"/>
        <v>0</v>
      </c>
      <c r="AB16" s="263"/>
      <c r="AC16" s="264">
        <f t="shared" si="19"/>
        <v>0</v>
      </c>
      <c r="AD16" s="263"/>
      <c r="AE16" s="264">
        <f t="shared" si="20"/>
        <v>0</v>
      </c>
      <c r="AF16" s="263"/>
      <c r="AG16" s="264">
        <f t="shared" si="21"/>
        <v>0</v>
      </c>
      <c r="AH16" s="263"/>
      <c r="AI16" s="264">
        <f t="shared" si="22"/>
        <v>0</v>
      </c>
      <c r="AJ16" s="263"/>
      <c r="AK16" s="264">
        <f t="shared" si="23"/>
        <v>0</v>
      </c>
      <c r="AL16" s="263"/>
      <c r="AM16" s="264">
        <f t="shared" si="24"/>
        <v>0</v>
      </c>
      <c r="AN16" s="267">
        <f t="shared" si="25"/>
        <v>0</v>
      </c>
      <c r="AO16" s="268"/>
      <c r="AP16" s="158"/>
    </row>
    <row r="17" spans="1:42" thickBot="1">
      <c r="A17" s="106"/>
      <c r="B17" s="157"/>
      <c r="C17" s="157"/>
      <c r="D17" s="104"/>
      <c r="E17" s="105"/>
      <c r="F17" s="105"/>
      <c r="G17" s="105"/>
      <c r="H17" s="103"/>
      <c r="I17" s="157"/>
      <c r="J17" s="103"/>
      <c r="K17" s="103"/>
      <c r="L17" s="105"/>
      <c r="M17" s="105"/>
      <c r="N17" s="107"/>
      <c r="O17" s="105"/>
      <c r="P17" s="263"/>
      <c r="Q17" s="264">
        <f t="shared" si="13"/>
        <v>0</v>
      </c>
      <c r="R17" s="263"/>
      <c r="S17" s="264">
        <f t="shared" si="14"/>
        <v>0</v>
      </c>
      <c r="T17" s="263"/>
      <c r="U17" s="264">
        <f t="shared" si="15"/>
        <v>0</v>
      </c>
      <c r="V17" s="263"/>
      <c r="W17" s="264">
        <f t="shared" si="16"/>
        <v>0</v>
      </c>
      <c r="X17" s="263"/>
      <c r="Y17" s="264">
        <f t="shared" si="17"/>
        <v>0</v>
      </c>
      <c r="Z17" s="263"/>
      <c r="AA17" s="264">
        <f t="shared" si="18"/>
        <v>0</v>
      </c>
      <c r="AB17" s="263"/>
      <c r="AC17" s="264">
        <f t="shared" si="19"/>
        <v>0</v>
      </c>
      <c r="AD17" s="263"/>
      <c r="AE17" s="264">
        <f t="shared" si="20"/>
        <v>0</v>
      </c>
      <c r="AF17" s="263"/>
      <c r="AG17" s="264">
        <f t="shared" si="21"/>
        <v>0</v>
      </c>
      <c r="AH17" s="263"/>
      <c r="AI17" s="264">
        <f t="shared" si="22"/>
        <v>0</v>
      </c>
      <c r="AJ17" s="263"/>
      <c r="AK17" s="264">
        <f t="shared" si="23"/>
        <v>0</v>
      </c>
      <c r="AL17" s="263"/>
      <c r="AM17" s="264">
        <f t="shared" si="24"/>
        <v>0</v>
      </c>
      <c r="AN17" s="267">
        <f t="shared" si="25"/>
        <v>0</v>
      </c>
      <c r="AO17" s="268"/>
      <c r="AP17" s="158"/>
    </row>
    <row r="18" spans="1:42" thickBot="1">
      <c r="A18" s="106"/>
      <c r="B18" s="157"/>
      <c r="C18" s="157"/>
      <c r="D18" s="104"/>
      <c r="E18" s="105"/>
      <c r="F18" s="105"/>
      <c r="G18" s="105"/>
      <c r="H18" s="103"/>
      <c r="I18" s="157"/>
      <c r="J18" s="103"/>
      <c r="K18" s="103"/>
      <c r="L18" s="105"/>
      <c r="M18" s="105"/>
      <c r="N18" s="107"/>
      <c r="O18" s="105"/>
      <c r="P18" s="263"/>
      <c r="Q18" s="264">
        <f t="shared" si="13"/>
        <v>0</v>
      </c>
      <c r="R18" s="263"/>
      <c r="S18" s="264">
        <f t="shared" si="14"/>
        <v>0</v>
      </c>
      <c r="T18" s="263"/>
      <c r="U18" s="264">
        <f t="shared" si="15"/>
        <v>0</v>
      </c>
      <c r="V18" s="263"/>
      <c r="W18" s="264">
        <f t="shared" si="16"/>
        <v>0</v>
      </c>
      <c r="X18" s="263"/>
      <c r="Y18" s="264">
        <f t="shared" si="17"/>
        <v>0</v>
      </c>
      <c r="Z18" s="263"/>
      <c r="AA18" s="264">
        <f t="shared" si="18"/>
        <v>0</v>
      </c>
      <c r="AB18" s="263"/>
      <c r="AC18" s="264">
        <f t="shared" si="19"/>
        <v>0</v>
      </c>
      <c r="AD18" s="263"/>
      <c r="AE18" s="264">
        <f t="shared" si="20"/>
        <v>0</v>
      </c>
      <c r="AF18" s="263"/>
      <c r="AG18" s="264">
        <f t="shared" si="21"/>
        <v>0</v>
      </c>
      <c r="AH18" s="263"/>
      <c r="AI18" s="264">
        <f t="shared" si="22"/>
        <v>0</v>
      </c>
      <c r="AJ18" s="263"/>
      <c r="AK18" s="264">
        <f t="shared" si="23"/>
        <v>0</v>
      </c>
      <c r="AL18" s="263"/>
      <c r="AM18" s="264">
        <f t="shared" si="24"/>
        <v>0</v>
      </c>
      <c r="AN18" s="267">
        <f t="shared" si="25"/>
        <v>0</v>
      </c>
      <c r="AO18" s="268"/>
      <c r="AP18" s="158"/>
    </row>
    <row r="19" spans="1:42" thickBot="1">
      <c r="A19" s="106"/>
      <c r="B19" s="157"/>
      <c r="C19" s="157"/>
      <c r="D19" s="104"/>
      <c r="E19" s="105"/>
      <c r="F19" s="105"/>
      <c r="G19" s="105"/>
      <c r="H19" s="103"/>
      <c r="I19" s="157"/>
      <c r="J19" s="103"/>
      <c r="K19" s="103"/>
      <c r="L19" s="105"/>
      <c r="M19" s="105"/>
      <c r="N19" s="107"/>
      <c r="O19" s="105"/>
      <c r="P19" s="263"/>
      <c r="Q19" s="264">
        <f t="shared" si="13"/>
        <v>0</v>
      </c>
      <c r="R19" s="263"/>
      <c r="S19" s="264">
        <f t="shared" si="14"/>
        <v>0</v>
      </c>
      <c r="T19" s="263"/>
      <c r="U19" s="264">
        <f t="shared" si="15"/>
        <v>0</v>
      </c>
      <c r="V19" s="263"/>
      <c r="W19" s="264">
        <f t="shared" si="16"/>
        <v>0</v>
      </c>
      <c r="X19" s="263"/>
      <c r="Y19" s="264">
        <f t="shared" si="17"/>
        <v>0</v>
      </c>
      <c r="Z19" s="263"/>
      <c r="AA19" s="264">
        <f t="shared" si="18"/>
        <v>0</v>
      </c>
      <c r="AB19" s="263"/>
      <c r="AC19" s="264">
        <f t="shared" si="19"/>
        <v>0</v>
      </c>
      <c r="AD19" s="263"/>
      <c r="AE19" s="264">
        <f t="shared" si="20"/>
        <v>0</v>
      </c>
      <c r="AF19" s="263"/>
      <c r="AG19" s="264">
        <f t="shared" si="21"/>
        <v>0</v>
      </c>
      <c r="AH19" s="263"/>
      <c r="AI19" s="264">
        <f t="shared" si="22"/>
        <v>0</v>
      </c>
      <c r="AJ19" s="263"/>
      <c r="AK19" s="264">
        <f t="shared" si="23"/>
        <v>0</v>
      </c>
      <c r="AL19" s="263"/>
      <c r="AM19" s="264">
        <f t="shared" si="24"/>
        <v>0</v>
      </c>
      <c r="AN19" s="267">
        <f t="shared" si="25"/>
        <v>0</v>
      </c>
      <c r="AO19" s="268"/>
      <c r="AP19" s="158"/>
    </row>
    <row r="20" spans="1:42" thickBot="1">
      <c r="A20" s="106"/>
      <c r="B20" s="157"/>
      <c r="C20" s="157"/>
      <c r="D20" s="104"/>
      <c r="E20" s="105"/>
      <c r="F20" s="105"/>
      <c r="G20" s="105"/>
      <c r="H20" s="103"/>
      <c r="I20" s="157"/>
      <c r="J20" s="103"/>
      <c r="K20" s="103"/>
      <c r="L20" s="105"/>
      <c r="M20" s="105"/>
      <c r="N20" s="107"/>
      <c r="O20" s="105"/>
      <c r="P20" s="263"/>
      <c r="Q20" s="264">
        <f t="shared" si="13"/>
        <v>0</v>
      </c>
      <c r="R20" s="263"/>
      <c r="S20" s="264">
        <f t="shared" si="14"/>
        <v>0</v>
      </c>
      <c r="T20" s="263"/>
      <c r="U20" s="264">
        <f t="shared" si="15"/>
        <v>0</v>
      </c>
      <c r="V20" s="263"/>
      <c r="W20" s="264">
        <f t="shared" si="16"/>
        <v>0</v>
      </c>
      <c r="X20" s="263"/>
      <c r="Y20" s="264">
        <f t="shared" si="17"/>
        <v>0</v>
      </c>
      <c r="Z20" s="263"/>
      <c r="AA20" s="264">
        <f t="shared" si="18"/>
        <v>0</v>
      </c>
      <c r="AB20" s="263"/>
      <c r="AC20" s="264">
        <f t="shared" si="19"/>
        <v>0</v>
      </c>
      <c r="AD20" s="263"/>
      <c r="AE20" s="264">
        <f t="shared" si="20"/>
        <v>0</v>
      </c>
      <c r="AF20" s="263"/>
      <c r="AG20" s="264">
        <f t="shared" si="21"/>
        <v>0</v>
      </c>
      <c r="AH20" s="263"/>
      <c r="AI20" s="264">
        <f t="shared" si="22"/>
        <v>0</v>
      </c>
      <c r="AJ20" s="263"/>
      <c r="AK20" s="264">
        <f t="shared" si="23"/>
        <v>0</v>
      </c>
      <c r="AL20" s="263"/>
      <c r="AM20" s="264">
        <f t="shared" si="24"/>
        <v>0</v>
      </c>
      <c r="AN20" s="267">
        <f t="shared" si="25"/>
        <v>0</v>
      </c>
      <c r="AO20" s="268"/>
      <c r="AP20" s="158"/>
    </row>
    <row r="21" spans="1:42" thickBot="1">
      <c r="A21" s="106"/>
      <c r="B21" s="157"/>
      <c r="C21" s="157"/>
      <c r="D21" s="104"/>
      <c r="E21" s="105"/>
      <c r="F21" s="105"/>
      <c r="G21" s="105"/>
      <c r="H21" s="103"/>
      <c r="I21" s="157"/>
      <c r="J21" s="103"/>
      <c r="K21" s="103"/>
      <c r="L21" s="105"/>
      <c r="M21" s="105"/>
      <c r="N21" s="107"/>
      <c r="O21" s="105"/>
      <c r="P21" s="263"/>
      <c r="Q21" s="264">
        <f t="shared" si="13"/>
        <v>0</v>
      </c>
      <c r="R21" s="263"/>
      <c r="S21" s="264">
        <f t="shared" si="14"/>
        <v>0</v>
      </c>
      <c r="T21" s="263"/>
      <c r="U21" s="264">
        <f t="shared" si="15"/>
        <v>0</v>
      </c>
      <c r="V21" s="263"/>
      <c r="W21" s="264">
        <f t="shared" si="16"/>
        <v>0</v>
      </c>
      <c r="X21" s="263"/>
      <c r="Y21" s="264">
        <f t="shared" si="17"/>
        <v>0</v>
      </c>
      <c r="Z21" s="263"/>
      <c r="AA21" s="264">
        <f t="shared" si="18"/>
        <v>0</v>
      </c>
      <c r="AB21" s="263"/>
      <c r="AC21" s="264">
        <f t="shared" si="19"/>
        <v>0</v>
      </c>
      <c r="AD21" s="263"/>
      <c r="AE21" s="264">
        <f t="shared" si="20"/>
        <v>0</v>
      </c>
      <c r="AF21" s="263"/>
      <c r="AG21" s="264">
        <f t="shared" si="21"/>
        <v>0</v>
      </c>
      <c r="AH21" s="263"/>
      <c r="AI21" s="264">
        <f t="shared" si="22"/>
        <v>0</v>
      </c>
      <c r="AJ21" s="263"/>
      <c r="AK21" s="264">
        <f t="shared" si="23"/>
        <v>0</v>
      </c>
      <c r="AL21" s="263"/>
      <c r="AM21" s="264">
        <f t="shared" si="24"/>
        <v>0</v>
      </c>
      <c r="AN21" s="267">
        <f t="shared" si="25"/>
        <v>0</v>
      </c>
      <c r="AO21" s="268"/>
      <c r="AP21" s="158"/>
    </row>
    <row r="22" spans="1:42" thickBot="1">
      <c r="A22" s="106"/>
      <c r="B22" s="157"/>
      <c r="C22" s="157"/>
      <c r="D22" s="104"/>
      <c r="E22" s="105"/>
      <c r="F22" s="105"/>
      <c r="G22" s="105"/>
      <c r="H22" s="103"/>
      <c r="I22" s="157"/>
      <c r="J22" s="103"/>
      <c r="K22" s="103"/>
      <c r="L22" s="105"/>
      <c r="M22" s="105"/>
      <c r="N22" s="107"/>
      <c r="O22" s="105"/>
      <c r="P22" s="263"/>
      <c r="Q22" s="264">
        <f t="shared" si="13"/>
        <v>0</v>
      </c>
      <c r="R22" s="263"/>
      <c r="S22" s="264">
        <f t="shared" si="14"/>
        <v>0</v>
      </c>
      <c r="T22" s="263"/>
      <c r="U22" s="264">
        <f t="shared" si="15"/>
        <v>0</v>
      </c>
      <c r="V22" s="263"/>
      <c r="W22" s="264">
        <f t="shared" si="16"/>
        <v>0</v>
      </c>
      <c r="X22" s="263"/>
      <c r="Y22" s="264">
        <f t="shared" si="17"/>
        <v>0</v>
      </c>
      <c r="Z22" s="263"/>
      <c r="AA22" s="264">
        <f t="shared" si="18"/>
        <v>0</v>
      </c>
      <c r="AB22" s="263"/>
      <c r="AC22" s="264">
        <f t="shared" si="19"/>
        <v>0</v>
      </c>
      <c r="AD22" s="263"/>
      <c r="AE22" s="264">
        <f t="shared" si="20"/>
        <v>0</v>
      </c>
      <c r="AF22" s="263"/>
      <c r="AG22" s="264">
        <f t="shared" si="21"/>
        <v>0</v>
      </c>
      <c r="AH22" s="263"/>
      <c r="AI22" s="264">
        <f t="shared" si="22"/>
        <v>0</v>
      </c>
      <c r="AJ22" s="263"/>
      <c r="AK22" s="264">
        <f t="shared" si="23"/>
        <v>0</v>
      </c>
      <c r="AL22" s="263"/>
      <c r="AM22" s="264">
        <f t="shared" si="24"/>
        <v>0</v>
      </c>
      <c r="AN22" s="267">
        <f t="shared" si="25"/>
        <v>0</v>
      </c>
      <c r="AO22" s="268"/>
      <c r="AP22" s="158"/>
    </row>
    <row r="23" spans="1:42" thickBot="1">
      <c r="A23" s="106"/>
      <c r="B23" s="157"/>
      <c r="C23" s="157"/>
      <c r="D23" s="104"/>
      <c r="E23" s="105"/>
      <c r="F23" s="105"/>
      <c r="G23" s="105"/>
      <c r="H23" s="103"/>
      <c r="I23" s="157"/>
      <c r="J23" s="103"/>
      <c r="K23" s="103"/>
      <c r="L23" s="105"/>
      <c r="M23" s="105"/>
      <c r="N23" s="107"/>
      <c r="O23" s="105"/>
      <c r="P23" s="263"/>
      <c r="Q23" s="264">
        <f t="shared" si="13"/>
        <v>0</v>
      </c>
      <c r="R23" s="263"/>
      <c r="S23" s="264">
        <f t="shared" si="14"/>
        <v>0</v>
      </c>
      <c r="T23" s="263"/>
      <c r="U23" s="264">
        <f t="shared" si="15"/>
        <v>0</v>
      </c>
      <c r="V23" s="263"/>
      <c r="W23" s="264">
        <f t="shared" si="16"/>
        <v>0</v>
      </c>
      <c r="X23" s="263"/>
      <c r="Y23" s="264">
        <f t="shared" si="17"/>
        <v>0</v>
      </c>
      <c r="Z23" s="263"/>
      <c r="AA23" s="264">
        <f t="shared" si="18"/>
        <v>0</v>
      </c>
      <c r="AB23" s="263"/>
      <c r="AC23" s="264">
        <f t="shared" si="19"/>
        <v>0</v>
      </c>
      <c r="AD23" s="263"/>
      <c r="AE23" s="264">
        <f t="shared" si="20"/>
        <v>0</v>
      </c>
      <c r="AF23" s="263"/>
      <c r="AG23" s="264">
        <f t="shared" si="21"/>
        <v>0</v>
      </c>
      <c r="AH23" s="263"/>
      <c r="AI23" s="264">
        <f t="shared" si="22"/>
        <v>0</v>
      </c>
      <c r="AJ23" s="263"/>
      <c r="AK23" s="264">
        <f t="shared" si="23"/>
        <v>0</v>
      </c>
      <c r="AL23" s="263"/>
      <c r="AM23" s="264">
        <f t="shared" si="24"/>
        <v>0</v>
      </c>
      <c r="AN23" s="267">
        <f t="shared" si="25"/>
        <v>0</v>
      </c>
      <c r="AO23" s="268"/>
      <c r="AP23" s="158"/>
    </row>
    <row r="24" spans="1:42" thickBot="1">
      <c r="A24" s="106"/>
      <c r="B24" s="157"/>
      <c r="C24" s="157"/>
      <c r="D24" s="104"/>
      <c r="E24" s="105"/>
      <c r="F24" s="105"/>
      <c r="G24" s="105"/>
      <c r="H24" s="103"/>
      <c r="I24" s="157"/>
      <c r="J24" s="103"/>
      <c r="K24" s="103"/>
      <c r="L24" s="105"/>
      <c r="M24" s="105"/>
      <c r="N24" s="107"/>
      <c r="O24" s="105"/>
      <c r="P24" s="263"/>
      <c r="Q24" s="264">
        <f t="shared" si="13"/>
        <v>0</v>
      </c>
      <c r="R24" s="263"/>
      <c r="S24" s="264">
        <f t="shared" si="14"/>
        <v>0</v>
      </c>
      <c r="T24" s="263"/>
      <c r="U24" s="264">
        <f t="shared" si="15"/>
        <v>0</v>
      </c>
      <c r="V24" s="263"/>
      <c r="W24" s="264">
        <f t="shared" si="16"/>
        <v>0</v>
      </c>
      <c r="X24" s="263"/>
      <c r="Y24" s="264">
        <f t="shared" si="17"/>
        <v>0</v>
      </c>
      <c r="Z24" s="263"/>
      <c r="AA24" s="264">
        <f t="shared" si="18"/>
        <v>0</v>
      </c>
      <c r="AB24" s="263"/>
      <c r="AC24" s="264">
        <f t="shared" si="19"/>
        <v>0</v>
      </c>
      <c r="AD24" s="263"/>
      <c r="AE24" s="264">
        <f t="shared" si="20"/>
        <v>0</v>
      </c>
      <c r="AF24" s="263"/>
      <c r="AG24" s="264">
        <f t="shared" si="21"/>
        <v>0</v>
      </c>
      <c r="AH24" s="263"/>
      <c r="AI24" s="264">
        <f t="shared" si="22"/>
        <v>0</v>
      </c>
      <c r="AJ24" s="263"/>
      <c r="AK24" s="264">
        <f t="shared" si="23"/>
        <v>0</v>
      </c>
      <c r="AL24" s="263"/>
      <c r="AM24" s="264">
        <f t="shared" si="24"/>
        <v>0</v>
      </c>
      <c r="AN24" s="267">
        <f t="shared" si="25"/>
        <v>0</v>
      </c>
      <c r="AO24" s="268"/>
      <c r="AP24" s="158"/>
    </row>
    <row r="25" spans="1:42" thickBot="1">
      <c r="A25" s="106"/>
      <c r="B25" s="157"/>
      <c r="C25" s="157"/>
      <c r="D25" s="104"/>
      <c r="E25" s="105"/>
      <c r="F25" s="105"/>
      <c r="G25" s="105"/>
      <c r="H25" s="103"/>
      <c r="I25" s="157"/>
      <c r="J25" s="103"/>
      <c r="K25" s="103"/>
      <c r="L25" s="105"/>
      <c r="M25" s="105"/>
      <c r="N25" s="107"/>
      <c r="O25" s="105"/>
      <c r="P25" s="263"/>
      <c r="Q25" s="264">
        <f t="shared" si="13"/>
        <v>0</v>
      </c>
      <c r="R25" s="263"/>
      <c r="S25" s="264">
        <f t="shared" si="14"/>
        <v>0</v>
      </c>
      <c r="T25" s="263"/>
      <c r="U25" s="264">
        <f t="shared" si="15"/>
        <v>0</v>
      </c>
      <c r="V25" s="263"/>
      <c r="W25" s="264">
        <f t="shared" si="16"/>
        <v>0</v>
      </c>
      <c r="X25" s="263"/>
      <c r="Y25" s="264">
        <f t="shared" si="17"/>
        <v>0</v>
      </c>
      <c r="Z25" s="263"/>
      <c r="AA25" s="264">
        <f t="shared" si="18"/>
        <v>0</v>
      </c>
      <c r="AB25" s="263"/>
      <c r="AC25" s="264">
        <f t="shared" si="19"/>
        <v>0</v>
      </c>
      <c r="AD25" s="263"/>
      <c r="AE25" s="264">
        <f t="shared" si="20"/>
        <v>0</v>
      </c>
      <c r="AF25" s="263"/>
      <c r="AG25" s="264">
        <f t="shared" si="21"/>
        <v>0</v>
      </c>
      <c r="AH25" s="263"/>
      <c r="AI25" s="264">
        <f t="shared" si="22"/>
        <v>0</v>
      </c>
      <c r="AJ25" s="263"/>
      <c r="AK25" s="264">
        <f t="shared" si="23"/>
        <v>0</v>
      </c>
      <c r="AL25" s="263"/>
      <c r="AM25" s="264">
        <f t="shared" si="24"/>
        <v>0</v>
      </c>
      <c r="AN25" s="267">
        <f t="shared" si="25"/>
        <v>0</v>
      </c>
      <c r="AO25" s="268"/>
      <c r="AP25" s="158"/>
    </row>
    <row r="26" spans="1:42" thickBot="1">
      <c r="A26" s="106"/>
      <c r="B26" s="157"/>
      <c r="C26" s="157"/>
      <c r="D26" s="104"/>
      <c r="E26" s="105"/>
      <c r="F26" s="105"/>
      <c r="G26" s="105"/>
      <c r="H26" s="103"/>
      <c r="I26" s="157"/>
      <c r="J26" s="103"/>
      <c r="K26" s="103"/>
      <c r="L26" s="105"/>
      <c r="M26" s="105"/>
      <c r="N26" s="107"/>
      <c r="O26" s="105"/>
      <c r="P26" s="263"/>
      <c r="Q26" s="264">
        <f t="shared" si="13"/>
        <v>0</v>
      </c>
      <c r="R26" s="263"/>
      <c r="S26" s="264">
        <f t="shared" si="14"/>
        <v>0</v>
      </c>
      <c r="T26" s="263"/>
      <c r="U26" s="264">
        <f t="shared" si="15"/>
        <v>0</v>
      </c>
      <c r="V26" s="263"/>
      <c r="W26" s="264">
        <f t="shared" si="16"/>
        <v>0</v>
      </c>
      <c r="X26" s="263"/>
      <c r="Y26" s="264">
        <f t="shared" si="17"/>
        <v>0</v>
      </c>
      <c r="Z26" s="263"/>
      <c r="AA26" s="264">
        <f t="shared" si="18"/>
        <v>0</v>
      </c>
      <c r="AB26" s="263"/>
      <c r="AC26" s="264">
        <f t="shared" si="19"/>
        <v>0</v>
      </c>
      <c r="AD26" s="263"/>
      <c r="AE26" s="264">
        <f t="shared" si="20"/>
        <v>0</v>
      </c>
      <c r="AF26" s="263"/>
      <c r="AG26" s="264">
        <f t="shared" si="21"/>
        <v>0</v>
      </c>
      <c r="AH26" s="263"/>
      <c r="AI26" s="264">
        <f t="shared" si="22"/>
        <v>0</v>
      </c>
      <c r="AJ26" s="263"/>
      <c r="AK26" s="264">
        <f t="shared" si="23"/>
        <v>0</v>
      </c>
      <c r="AL26" s="263"/>
      <c r="AM26" s="264">
        <f t="shared" si="24"/>
        <v>0</v>
      </c>
      <c r="AN26" s="267">
        <f t="shared" si="25"/>
        <v>0</v>
      </c>
      <c r="AO26" s="268"/>
      <c r="AP26" s="158"/>
    </row>
    <row r="27" spans="1:42" thickBot="1">
      <c r="A27" s="106"/>
      <c r="B27" s="157"/>
      <c r="C27" s="157"/>
      <c r="D27" s="104"/>
      <c r="E27" s="105"/>
      <c r="F27" s="105"/>
      <c r="G27" s="105"/>
      <c r="H27" s="103"/>
      <c r="I27" s="157"/>
      <c r="J27" s="103"/>
      <c r="K27" s="103"/>
      <c r="L27" s="105"/>
      <c r="M27" s="105"/>
      <c r="N27" s="107"/>
      <c r="O27" s="105"/>
      <c r="P27" s="263"/>
      <c r="Q27" s="264">
        <f t="shared" si="13"/>
        <v>0</v>
      </c>
      <c r="R27" s="263"/>
      <c r="S27" s="264">
        <f t="shared" si="14"/>
        <v>0</v>
      </c>
      <c r="T27" s="263"/>
      <c r="U27" s="264">
        <f t="shared" si="15"/>
        <v>0</v>
      </c>
      <c r="V27" s="263"/>
      <c r="W27" s="264">
        <f t="shared" si="16"/>
        <v>0</v>
      </c>
      <c r="X27" s="263"/>
      <c r="Y27" s="264">
        <f t="shared" si="17"/>
        <v>0</v>
      </c>
      <c r="Z27" s="263"/>
      <c r="AA27" s="264">
        <f t="shared" si="18"/>
        <v>0</v>
      </c>
      <c r="AB27" s="263"/>
      <c r="AC27" s="264">
        <f t="shared" si="19"/>
        <v>0</v>
      </c>
      <c r="AD27" s="263"/>
      <c r="AE27" s="264">
        <f t="shared" si="20"/>
        <v>0</v>
      </c>
      <c r="AF27" s="263"/>
      <c r="AG27" s="264">
        <f t="shared" si="21"/>
        <v>0</v>
      </c>
      <c r="AH27" s="263"/>
      <c r="AI27" s="264">
        <f t="shared" si="22"/>
        <v>0</v>
      </c>
      <c r="AJ27" s="263"/>
      <c r="AK27" s="264">
        <f t="shared" si="23"/>
        <v>0</v>
      </c>
      <c r="AL27" s="263"/>
      <c r="AM27" s="264">
        <f t="shared" si="24"/>
        <v>0</v>
      </c>
      <c r="AN27" s="267">
        <f t="shared" si="25"/>
        <v>0</v>
      </c>
      <c r="AO27" s="268"/>
      <c r="AP27" s="158"/>
    </row>
    <row r="28" spans="1:42" thickBot="1">
      <c r="A28" s="106"/>
      <c r="B28" s="157"/>
      <c r="C28" s="157"/>
      <c r="D28" s="104"/>
      <c r="E28" s="105"/>
      <c r="F28" s="105"/>
      <c r="G28" s="105"/>
      <c r="H28" s="103"/>
      <c r="I28" s="157"/>
      <c r="J28" s="103"/>
      <c r="K28" s="103"/>
      <c r="L28" s="105"/>
      <c r="M28" s="105"/>
      <c r="N28" s="107"/>
      <c r="O28" s="105"/>
      <c r="P28" s="263"/>
      <c r="Q28" s="264">
        <f t="shared" si="13"/>
        <v>0</v>
      </c>
      <c r="R28" s="263"/>
      <c r="S28" s="264">
        <f t="shared" si="14"/>
        <v>0</v>
      </c>
      <c r="T28" s="263"/>
      <c r="U28" s="264">
        <f t="shared" si="15"/>
        <v>0</v>
      </c>
      <c r="V28" s="263"/>
      <c r="W28" s="264">
        <f t="shared" si="16"/>
        <v>0</v>
      </c>
      <c r="X28" s="263"/>
      <c r="Y28" s="264">
        <f t="shared" si="17"/>
        <v>0</v>
      </c>
      <c r="Z28" s="263"/>
      <c r="AA28" s="264">
        <f t="shared" si="18"/>
        <v>0</v>
      </c>
      <c r="AB28" s="263"/>
      <c r="AC28" s="264">
        <f t="shared" si="19"/>
        <v>0</v>
      </c>
      <c r="AD28" s="263"/>
      <c r="AE28" s="264">
        <f t="shared" si="20"/>
        <v>0</v>
      </c>
      <c r="AF28" s="263"/>
      <c r="AG28" s="264">
        <f t="shared" si="21"/>
        <v>0</v>
      </c>
      <c r="AH28" s="263"/>
      <c r="AI28" s="264">
        <f t="shared" si="22"/>
        <v>0</v>
      </c>
      <c r="AJ28" s="263"/>
      <c r="AK28" s="264">
        <f t="shared" si="23"/>
        <v>0</v>
      </c>
      <c r="AL28" s="263"/>
      <c r="AM28" s="264">
        <f t="shared" si="24"/>
        <v>0</v>
      </c>
      <c r="AN28" s="267">
        <f t="shared" si="25"/>
        <v>0</v>
      </c>
      <c r="AO28" s="268"/>
      <c r="AP28" s="158"/>
    </row>
    <row r="29" spans="1:42" thickBot="1">
      <c r="A29" s="106"/>
      <c r="B29" s="157"/>
      <c r="C29" s="157"/>
      <c r="D29" s="104"/>
      <c r="E29" s="105"/>
      <c r="F29" s="105"/>
      <c r="G29" s="105"/>
      <c r="H29" s="103"/>
      <c r="I29" s="157"/>
      <c r="J29" s="103"/>
      <c r="K29" s="103"/>
      <c r="L29" s="105"/>
      <c r="M29" s="105"/>
      <c r="N29" s="107"/>
      <c r="O29" s="105"/>
      <c r="P29" s="263"/>
      <c r="Q29" s="264">
        <f t="shared" si="13"/>
        <v>0</v>
      </c>
      <c r="R29" s="263"/>
      <c r="S29" s="264">
        <f t="shared" si="14"/>
        <v>0</v>
      </c>
      <c r="T29" s="263"/>
      <c r="U29" s="264">
        <f t="shared" si="15"/>
        <v>0</v>
      </c>
      <c r="V29" s="263"/>
      <c r="W29" s="264">
        <f t="shared" si="16"/>
        <v>0</v>
      </c>
      <c r="X29" s="263"/>
      <c r="Y29" s="264">
        <f t="shared" si="17"/>
        <v>0</v>
      </c>
      <c r="Z29" s="263"/>
      <c r="AA29" s="264">
        <f t="shared" si="18"/>
        <v>0</v>
      </c>
      <c r="AB29" s="263"/>
      <c r="AC29" s="264">
        <f t="shared" si="19"/>
        <v>0</v>
      </c>
      <c r="AD29" s="263"/>
      <c r="AE29" s="264">
        <f t="shared" si="20"/>
        <v>0</v>
      </c>
      <c r="AF29" s="263"/>
      <c r="AG29" s="264">
        <f t="shared" si="21"/>
        <v>0</v>
      </c>
      <c r="AH29" s="263"/>
      <c r="AI29" s="264">
        <f t="shared" si="22"/>
        <v>0</v>
      </c>
      <c r="AJ29" s="263"/>
      <c r="AK29" s="264">
        <f t="shared" si="23"/>
        <v>0</v>
      </c>
      <c r="AL29" s="263"/>
      <c r="AM29" s="264">
        <f t="shared" si="24"/>
        <v>0</v>
      </c>
      <c r="AN29" s="267">
        <f t="shared" si="25"/>
        <v>0</v>
      </c>
      <c r="AO29" s="268"/>
      <c r="AP29" s="158"/>
    </row>
    <row r="30" spans="1:42" thickBot="1">
      <c r="A30" s="106"/>
      <c r="B30" s="157"/>
      <c r="C30" s="157"/>
      <c r="D30" s="104"/>
      <c r="E30" s="105"/>
      <c r="F30" s="105"/>
      <c r="G30" s="105"/>
      <c r="H30" s="103"/>
      <c r="I30" s="157"/>
      <c r="J30" s="103"/>
      <c r="K30" s="103"/>
      <c r="L30" s="105"/>
      <c r="M30" s="105"/>
      <c r="N30" s="107"/>
      <c r="O30" s="105"/>
      <c r="P30" s="263"/>
      <c r="Q30" s="264">
        <f t="shared" si="13"/>
        <v>0</v>
      </c>
      <c r="R30" s="263"/>
      <c r="S30" s="264">
        <f t="shared" si="14"/>
        <v>0</v>
      </c>
      <c r="T30" s="263"/>
      <c r="U30" s="264">
        <f t="shared" si="15"/>
        <v>0</v>
      </c>
      <c r="V30" s="263"/>
      <c r="W30" s="264">
        <f t="shared" si="16"/>
        <v>0</v>
      </c>
      <c r="X30" s="263"/>
      <c r="Y30" s="264">
        <f t="shared" si="17"/>
        <v>0</v>
      </c>
      <c r="Z30" s="263"/>
      <c r="AA30" s="264">
        <f t="shared" si="18"/>
        <v>0</v>
      </c>
      <c r="AB30" s="263"/>
      <c r="AC30" s="264">
        <f t="shared" si="19"/>
        <v>0</v>
      </c>
      <c r="AD30" s="263"/>
      <c r="AE30" s="264">
        <f t="shared" si="20"/>
        <v>0</v>
      </c>
      <c r="AF30" s="263"/>
      <c r="AG30" s="264">
        <f t="shared" si="21"/>
        <v>0</v>
      </c>
      <c r="AH30" s="263"/>
      <c r="AI30" s="264">
        <f t="shared" si="22"/>
        <v>0</v>
      </c>
      <c r="AJ30" s="263"/>
      <c r="AK30" s="264">
        <f t="shared" si="23"/>
        <v>0</v>
      </c>
      <c r="AL30" s="263"/>
      <c r="AM30" s="264">
        <f t="shared" si="24"/>
        <v>0</v>
      </c>
      <c r="AN30" s="267">
        <f t="shared" si="25"/>
        <v>0</v>
      </c>
      <c r="AO30" s="268"/>
      <c r="AP30" s="158"/>
    </row>
    <row r="31" spans="1:42" thickBot="1">
      <c r="A31" s="106"/>
      <c r="B31" s="157"/>
      <c r="C31" s="157"/>
      <c r="D31" s="104"/>
      <c r="E31" s="105"/>
      <c r="F31" s="105"/>
      <c r="G31" s="105"/>
      <c r="H31" s="103"/>
      <c r="I31" s="157"/>
      <c r="J31" s="103"/>
      <c r="K31" s="103"/>
      <c r="L31" s="105"/>
      <c r="M31" s="105"/>
      <c r="N31" s="107"/>
      <c r="O31" s="105"/>
      <c r="P31" s="263"/>
      <c r="Q31" s="264">
        <f t="shared" si="13"/>
        <v>0</v>
      </c>
      <c r="R31" s="263"/>
      <c r="S31" s="264">
        <f t="shared" si="14"/>
        <v>0</v>
      </c>
      <c r="T31" s="263"/>
      <c r="U31" s="264">
        <f t="shared" si="15"/>
        <v>0</v>
      </c>
      <c r="V31" s="263"/>
      <c r="W31" s="264">
        <f t="shared" si="16"/>
        <v>0</v>
      </c>
      <c r="X31" s="263"/>
      <c r="Y31" s="264">
        <f t="shared" si="17"/>
        <v>0</v>
      </c>
      <c r="Z31" s="263"/>
      <c r="AA31" s="264">
        <f t="shared" si="18"/>
        <v>0</v>
      </c>
      <c r="AB31" s="263"/>
      <c r="AC31" s="264">
        <f t="shared" si="19"/>
        <v>0</v>
      </c>
      <c r="AD31" s="263"/>
      <c r="AE31" s="264">
        <f t="shared" si="20"/>
        <v>0</v>
      </c>
      <c r="AF31" s="263"/>
      <c r="AG31" s="264">
        <f t="shared" si="21"/>
        <v>0</v>
      </c>
      <c r="AH31" s="263"/>
      <c r="AI31" s="264">
        <f t="shared" si="22"/>
        <v>0</v>
      </c>
      <c r="AJ31" s="263"/>
      <c r="AK31" s="264">
        <f t="shared" si="23"/>
        <v>0</v>
      </c>
      <c r="AL31" s="263"/>
      <c r="AM31" s="264">
        <f t="shared" si="24"/>
        <v>0</v>
      </c>
      <c r="AN31" s="267">
        <f t="shared" si="25"/>
        <v>0</v>
      </c>
      <c r="AO31" s="268"/>
      <c r="AP31" s="158"/>
    </row>
    <row r="32" spans="1:42" thickBot="1">
      <c r="A32" s="106"/>
      <c r="B32" s="157"/>
      <c r="C32" s="157"/>
      <c r="D32" s="104"/>
      <c r="E32" s="105"/>
      <c r="F32" s="105"/>
      <c r="G32" s="105"/>
      <c r="H32" s="103"/>
      <c r="I32" s="157"/>
      <c r="J32" s="103"/>
      <c r="K32" s="103"/>
      <c r="L32" s="105"/>
      <c r="M32" s="105"/>
      <c r="N32" s="107"/>
      <c r="O32" s="105"/>
      <c r="P32" s="263"/>
      <c r="Q32" s="264">
        <f t="shared" si="13"/>
        <v>0</v>
      </c>
      <c r="R32" s="263"/>
      <c r="S32" s="264">
        <f t="shared" si="14"/>
        <v>0</v>
      </c>
      <c r="T32" s="263"/>
      <c r="U32" s="264">
        <f t="shared" si="15"/>
        <v>0</v>
      </c>
      <c r="V32" s="263"/>
      <c r="W32" s="264">
        <f t="shared" si="16"/>
        <v>0</v>
      </c>
      <c r="X32" s="263"/>
      <c r="Y32" s="264">
        <f t="shared" si="17"/>
        <v>0</v>
      </c>
      <c r="Z32" s="263"/>
      <c r="AA32" s="264">
        <f t="shared" si="18"/>
        <v>0</v>
      </c>
      <c r="AB32" s="263"/>
      <c r="AC32" s="264">
        <f t="shared" si="19"/>
        <v>0</v>
      </c>
      <c r="AD32" s="263"/>
      <c r="AE32" s="264">
        <f t="shared" si="20"/>
        <v>0</v>
      </c>
      <c r="AF32" s="263"/>
      <c r="AG32" s="264">
        <f t="shared" si="21"/>
        <v>0</v>
      </c>
      <c r="AH32" s="263"/>
      <c r="AI32" s="264">
        <f t="shared" si="22"/>
        <v>0</v>
      </c>
      <c r="AJ32" s="263"/>
      <c r="AK32" s="264">
        <f t="shared" si="23"/>
        <v>0</v>
      </c>
      <c r="AL32" s="263"/>
      <c r="AM32" s="264">
        <f t="shared" si="24"/>
        <v>0</v>
      </c>
      <c r="AN32" s="267">
        <f t="shared" si="25"/>
        <v>0</v>
      </c>
      <c r="AO32" s="268"/>
      <c r="AP32" s="158"/>
    </row>
    <row r="33" spans="1:42" thickBot="1">
      <c r="A33" s="106"/>
      <c r="B33" s="157"/>
      <c r="C33" s="157"/>
      <c r="D33" s="104"/>
      <c r="E33" s="105"/>
      <c r="F33" s="105"/>
      <c r="G33" s="105"/>
      <c r="H33" s="103"/>
      <c r="I33" s="157"/>
      <c r="J33" s="103"/>
      <c r="K33" s="103"/>
      <c r="L33" s="105"/>
      <c r="M33" s="105"/>
      <c r="N33" s="107"/>
      <c r="O33" s="105"/>
      <c r="P33" s="263"/>
      <c r="Q33" s="264">
        <f t="shared" si="13"/>
        <v>0</v>
      </c>
      <c r="R33" s="263"/>
      <c r="S33" s="264">
        <f t="shared" si="14"/>
        <v>0</v>
      </c>
      <c r="T33" s="263"/>
      <c r="U33" s="264">
        <f t="shared" si="15"/>
        <v>0</v>
      </c>
      <c r="V33" s="263"/>
      <c r="W33" s="264">
        <f t="shared" si="16"/>
        <v>0</v>
      </c>
      <c r="X33" s="263"/>
      <c r="Y33" s="264">
        <f t="shared" si="17"/>
        <v>0</v>
      </c>
      <c r="Z33" s="263"/>
      <c r="AA33" s="264">
        <f t="shared" si="18"/>
        <v>0</v>
      </c>
      <c r="AB33" s="263"/>
      <c r="AC33" s="264">
        <f t="shared" si="19"/>
        <v>0</v>
      </c>
      <c r="AD33" s="263"/>
      <c r="AE33" s="264">
        <f t="shared" si="20"/>
        <v>0</v>
      </c>
      <c r="AF33" s="263"/>
      <c r="AG33" s="264">
        <f t="shared" si="21"/>
        <v>0</v>
      </c>
      <c r="AH33" s="263"/>
      <c r="AI33" s="264">
        <f t="shared" si="22"/>
        <v>0</v>
      </c>
      <c r="AJ33" s="263"/>
      <c r="AK33" s="264">
        <f t="shared" si="23"/>
        <v>0</v>
      </c>
      <c r="AL33" s="263"/>
      <c r="AM33" s="264">
        <f t="shared" si="24"/>
        <v>0</v>
      </c>
      <c r="AN33" s="267">
        <f t="shared" si="25"/>
        <v>0</v>
      </c>
      <c r="AO33" s="268"/>
      <c r="AP33" s="158"/>
    </row>
    <row r="34" spans="1:42" thickBot="1">
      <c r="A34" s="106"/>
      <c r="B34" s="157"/>
      <c r="C34" s="157"/>
      <c r="D34" s="104"/>
      <c r="E34" s="105"/>
      <c r="F34" s="105"/>
      <c r="G34" s="105"/>
      <c r="H34" s="103"/>
      <c r="I34" s="157"/>
      <c r="J34" s="103"/>
      <c r="K34" s="103"/>
      <c r="L34" s="105"/>
      <c r="M34" s="105"/>
      <c r="N34" s="107"/>
      <c r="O34" s="105"/>
      <c r="P34" s="263"/>
      <c r="Q34" s="264">
        <f t="shared" si="13"/>
        <v>0</v>
      </c>
      <c r="R34" s="263"/>
      <c r="S34" s="264">
        <f t="shared" si="14"/>
        <v>0</v>
      </c>
      <c r="T34" s="263"/>
      <c r="U34" s="264">
        <f t="shared" si="15"/>
        <v>0</v>
      </c>
      <c r="V34" s="263"/>
      <c r="W34" s="264">
        <f t="shared" si="16"/>
        <v>0</v>
      </c>
      <c r="X34" s="263"/>
      <c r="Y34" s="264">
        <f t="shared" si="17"/>
        <v>0</v>
      </c>
      <c r="Z34" s="263"/>
      <c r="AA34" s="264">
        <f t="shared" si="18"/>
        <v>0</v>
      </c>
      <c r="AB34" s="263"/>
      <c r="AC34" s="264">
        <f t="shared" si="19"/>
        <v>0</v>
      </c>
      <c r="AD34" s="263"/>
      <c r="AE34" s="264">
        <f t="shared" si="20"/>
        <v>0</v>
      </c>
      <c r="AF34" s="263"/>
      <c r="AG34" s="264">
        <f t="shared" si="21"/>
        <v>0</v>
      </c>
      <c r="AH34" s="263"/>
      <c r="AI34" s="264">
        <f t="shared" si="22"/>
        <v>0</v>
      </c>
      <c r="AJ34" s="263"/>
      <c r="AK34" s="264">
        <f t="shared" si="23"/>
        <v>0</v>
      </c>
      <c r="AL34" s="263"/>
      <c r="AM34" s="264">
        <f t="shared" si="24"/>
        <v>0</v>
      </c>
      <c r="AN34" s="267">
        <f t="shared" si="25"/>
        <v>0</v>
      </c>
      <c r="AO34" s="268"/>
      <c r="AP34" s="158"/>
    </row>
    <row r="35" spans="1:42" thickBot="1">
      <c r="A35" s="106"/>
      <c r="B35" s="157"/>
      <c r="C35" s="157"/>
      <c r="D35" s="104"/>
      <c r="E35" s="105"/>
      <c r="F35" s="105"/>
      <c r="G35" s="105"/>
      <c r="H35" s="103"/>
      <c r="I35" s="157"/>
      <c r="J35" s="103"/>
      <c r="K35" s="103"/>
      <c r="L35" s="105"/>
      <c r="M35" s="105"/>
      <c r="N35" s="107"/>
      <c r="O35" s="105"/>
      <c r="P35" s="263"/>
      <c r="Q35" s="264">
        <f t="shared" si="13"/>
        <v>0</v>
      </c>
      <c r="R35" s="263"/>
      <c r="S35" s="264">
        <f t="shared" si="14"/>
        <v>0</v>
      </c>
      <c r="T35" s="263"/>
      <c r="U35" s="264">
        <f t="shared" si="15"/>
        <v>0</v>
      </c>
      <c r="V35" s="263"/>
      <c r="W35" s="264">
        <f t="shared" si="16"/>
        <v>0</v>
      </c>
      <c r="X35" s="263"/>
      <c r="Y35" s="264">
        <f t="shared" si="17"/>
        <v>0</v>
      </c>
      <c r="Z35" s="263"/>
      <c r="AA35" s="264">
        <f t="shared" si="18"/>
        <v>0</v>
      </c>
      <c r="AB35" s="263"/>
      <c r="AC35" s="264">
        <f t="shared" si="19"/>
        <v>0</v>
      </c>
      <c r="AD35" s="263"/>
      <c r="AE35" s="264">
        <f t="shared" si="20"/>
        <v>0</v>
      </c>
      <c r="AF35" s="263"/>
      <c r="AG35" s="264">
        <f t="shared" si="21"/>
        <v>0</v>
      </c>
      <c r="AH35" s="263"/>
      <c r="AI35" s="264">
        <f t="shared" si="22"/>
        <v>0</v>
      </c>
      <c r="AJ35" s="263"/>
      <c r="AK35" s="264">
        <f t="shared" si="23"/>
        <v>0</v>
      </c>
      <c r="AL35" s="263"/>
      <c r="AM35" s="264">
        <f t="shared" si="24"/>
        <v>0</v>
      </c>
      <c r="AN35" s="267">
        <f t="shared" si="25"/>
        <v>0</v>
      </c>
      <c r="AO35" s="268"/>
      <c r="AP35" s="158"/>
    </row>
    <row r="36" spans="1:42" thickBot="1">
      <c r="A36" s="106"/>
      <c r="B36" s="157"/>
      <c r="C36" s="157"/>
      <c r="D36" s="104"/>
      <c r="E36" s="105"/>
      <c r="F36" s="105"/>
      <c r="G36" s="105"/>
      <c r="H36" s="103"/>
      <c r="I36" s="157"/>
      <c r="J36" s="103"/>
      <c r="K36" s="103"/>
      <c r="L36" s="105"/>
      <c r="M36" s="105"/>
      <c r="N36" s="107"/>
      <c r="O36" s="105"/>
      <c r="P36" s="263"/>
      <c r="Q36" s="264">
        <f t="shared" si="13"/>
        <v>0</v>
      </c>
      <c r="R36" s="263"/>
      <c r="S36" s="264">
        <f t="shared" si="14"/>
        <v>0</v>
      </c>
      <c r="T36" s="263"/>
      <c r="U36" s="264">
        <f t="shared" si="15"/>
        <v>0</v>
      </c>
      <c r="V36" s="263"/>
      <c r="W36" s="264">
        <f t="shared" si="16"/>
        <v>0</v>
      </c>
      <c r="X36" s="263"/>
      <c r="Y36" s="264">
        <f t="shared" si="17"/>
        <v>0</v>
      </c>
      <c r="Z36" s="263"/>
      <c r="AA36" s="264">
        <f t="shared" si="18"/>
        <v>0</v>
      </c>
      <c r="AB36" s="263"/>
      <c r="AC36" s="264">
        <f t="shared" si="19"/>
        <v>0</v>
      </c>
      <c r="AD36" s="263"/>
      <c r="AE36" s="264">
        <f t="shared" si="20"/>
        <v>0</v>
      </c>
      <c r="AF36" s="263"/>
      <c r="AG36" s="264">
        <f t="shared" si="21"/>
        <v>0</v>
      </c>
      <c r="AH36" s="263"/>
      <c r="AI36" s="264">
        <f t="shared" si="22"/>
        <v>0</v>
      </c>
      <c r="AJ36" s="263"/>
      <c r="AK36" s="264">
        <f t="shared" si="23"/>
        <v>0</v>
      </c>
      <c r="AL36" s="263"/>
      <c r="AM36" s="264">
        <f t="shared" si="24"/>
        <v>0</v>
      </c>
      <c r="AN36" s="267">
        <f t="shared" si="25"/>
        <v>0</v>
      </c>
      <c r="AO36" s="268"/>
      <c r="AP36" s="158"/>
    </row>
    <row r="37" spans="1:42" thickBot="1">
      <c r="A37" s="106"/>
      <c r="B37" s="157"/>
      <c r="C37" s="157"/>
      <c r="D37" s="104"/>
      <c r="E37" s="105"/>
      <c r="F37" s="105"/>
      <c r="G37" s="105"/>
      <c r="H37" s="103"/>
      <c r="I37" s="157"/>
      <c r="J37" s="103"/>
      <c r="K37" s="103"/>
      <c r="L37" s="105"/>
      <c r="M37" s="105"/>
      <c r="N37" s="107"/>
      <c r="O37" s="105"/>
      <c r="P37" s="263"/>
      <c r="Q37" s="264">
        <f t="shared" si="13"/>
        <v>0</v>
      </c>
      <c r="R37" s="263"/>
      <c r="S37" s="264">
        <f t="shared" si="14"/>
        <v>0</v>
      </c>
      <c r="T37" s="263"/>
      <c r="U37" s="264">
        <f t="shared" si="15"/>
        <v>0</v>
      </c>
      <c r="V37" s="263"/>
      <c r="W37" s="264">
        <f t="shared" si="16"/>
        <v>0</v>
      </c>
      <c r="X37" s="263"/>
      <c r="Y37" s="264">
        <f t="shared" si="17"/>
        <v>0</v>
      </c>
      <c r="Z37" s="263"/>
      <c r="AA37" s="264">
        <f t="shared" si="18"/>
        <v>0</v>
      </c>
      <c r="AB37" s="263"/>
      <c r="AC37" s="264">
        <f t="shared" si="19"/>
        <v>0</v>
      </c>
      <c r="AD37" s="263"/>
      <c r="AE37" s="264">
        <f t="shared" si="20"/>
        <v>0</v>
      </c>
      <c r="AF37" s="263"/>
      <c r="AG37" s="264">
        <f t="shared" si="21"/>
        <v>0</v>
      </c>
      <c r="AH37" s="263"/>
      <c r="AI37" s="264">
        <f t="shared" si="22"/>
        <v>0</v>
      </c>
      <c r="AJ37" s="263"/>
      <c r="AK37" s="264">
        <f t="shared" si="23"/>
        <v>0</v>
      </c>
      <c r="AL37" s="263"/>
      <c r="AM37" s="264">
        <f t="shared" si="24"/>
        <v>0</v>
      </c>
      <c r="AN37" s="267">
        <f t="shared" si="25"/>
        <v>0</v>
      </c>
      <c r="AO37" s="268"/>
      <c r="AP37" s="158"/>
    </row>
    <row r="38" spans="1:42" thickBot="1">
      <c r="A38" s="106"/>
      <c r="B38" s="157"/>
      <c r="C38" s="157"/>
      <c r="D38" s="104"/>
      <c r="E38" s="105"/>
      <c r="F38" s="105"/>
      <c r="G38" s="105"/>
      <c r="H38" s="103"/>
      <c r="I38" s="157"/>
      <c r="J38" s="103"/>
      <c r="K38" s="103"/>
      <c r="L38" s="105"/>
      <c r="M38" s="105"/>
      <c r="N38" s="107"/>
      <c r="O38" s="105"/>
      <c r="P38" s="263"/>
      <c r="Q38" s="264">
        <f t="shared" si="13"/>
        <v>0</v>
      </c>
      <c r="R38" s="263"/>
      <c r="S38" s="264">
        <f t="shared" si="14"/>
        <v>0</v>
      </c>
      <c r="T38" s="263"/>
      <c r="U38" s="264">
        <f t="shared" si="15"/>
        <v>0</v>
      </c>
      <c r="V38" s="263"/>
      <c r="W38" s="264">
        <f t="shared" si="16"/>
        <v>0</v>
      </c>
      <c r="X38" s="263"/>
      <c r="Y38" s="264">
        <f t="shared" si="17"/>
        <v>0</v>
      </c>
      <c r="Z38" s="263"/>
      <c r="AA38" s="264">
        <f t="shared" si="18"/>
        <v>0</v>
      </c>
      <c r="AB38" s="263"/>
      <c r="AC38" s="264">
        <f t="shared" si="19"/>
        <v>0</v>
      </c>
      <c r="AD38" s="263"/>
      <c r="AE38" s="264">
        <f t="shared" si="20"/>
        <v>0</v>
      </c>
      <c r="AF38" s="263"/>
      <c r="AG38" s="264">
        <f t="shared" si="21"/>
        <v>0</v>
      </c>
      <c r="AH38" s="263"/>
      <c r="AI38" s="264">
        <f t="shared" si="22"/>
        <v>0</v>
      </c>
      <c r="AJ38" s="263"/>
      <c r="AK38" s="264">
        <f t="shared" si="23"/>
        <v>0</v>
      </c>
      <c r="AL38" s="263"/>
      <c r="AM38" s="264">
        <f t="shared" si="24"/>
        <v>0</v>
      </c>
      <c r="AN38" s="267">
        <f t="shared" si="25"/>
        <v>0</v>
      </c>
      <c r="AO38" s="268"/>
      <c r="AP38" s="158"/>
    </row>
    <row r="39" spans="1:42" thickBot="1">
      <c r="A39" s="106"/>
      <c r="B39" s="157"/>
      <c r="C39" s="157"/>
      <c r="D39" s="104"/>
      <c r="E39" s="105"/>
      <c r="F39" s="105"/>
      <c r="G39" s="105"/>
      <c r="H39" s="103"/>
      <c r="I39" s="157"/>
      <c r="J39" s="103"/>
      <c r="K39" s="103"/>
      <c r="L39" s="105"/>
      <c r="M39" s="105"/>
      <c r="N39" s="107"/>
      <c r="O39" s="105"/>
      <c r="P39" s="263"/>
      <c r="Q39" s="264">
        <f t="shared" si="13"/>
        <v>0</v>
      </c>
      <c r="R39" s="263"/>
      <c r="S39" s="264">
        <f t="shared" si="14"/>
        <v>0</v>
      </c>
      <c r="T39" s="263"/>
      <c r="U39" s="264">
        <f t="shared" si="15"/>
        <v>0</v>
      </c>
      <c r="V39" s="263"/>
      <c r="W39" s="264">
        <f t="shared" si="16"/>
        <v>0</v>
      </c>
      <c r="X39" s="263"/>
      <c r="Y39" s="264">
        <f t="shared" si="17"/>
        <v>0</v>
      </c>
      <c r="Z39" s="263"/>
      <c r="AA39" s="264">
        <f t="shared" si="18"/>
        <v>0</v>
      </c>
      <c r="AB39" s="263"/>
      <c r="AC39" s="264">
        <f t="shared" si="19"/>
        <v>0</v>
      </c>
      <c r="AD39" s="263"/>
      <c r="AE39" s="264">
        <f t="shared" si="20"/>
        <v>0</v>
      </c>
      <c r="AF39" s="263"/>
      <c r="AG39" s="264">
        <f t="shared" si="21"/>
        <v>0</v>
      </c>
      <c r="AH39" s="263"/>
      <c r="AI39" s="264">
        <f t="shared" si="22"/>
        <v>0</v>
      </c>
      <c r="AJ39" s="263"/>
      <c r="AK39" s="264">
        <f t="shared" si="23"/>
        <v>0</v>
      </c>
      <c r="AL39" s="263"/>
      <c r="AM39" s="264">
        <f t="shared" si="24"/>
        <v>0</v>
      </c>
      <c r="AN39" s="267">
        <f t="shared" si="25"/>
        <v>0</v>
      </c>
      <c r="AO39" s="268"/>
      <c r="AP39" s="158"/>
    </row>
    <row r="40" spans="1:42" thickBot="1">
      <c r="A40" s="106"/>
      <c r="B40" s="157"/>
      <c r="C40" s="157"/>
      <c r="D40" s="104"/>
      <c r="E40" s="105"/>
      <c r="F40" s="105"/>
      <c r="G40" s="105"/>
      <c r="H40" s="103"/>
      <c r="I40" s="157"/>
      <c r="J40" s="103"/>
      <c r="K40" s="103"/>
      <c r="L40" s="105"/>
      <c r="M40" s="105"/>
      <c r="N40" s="107"/>
      <c r="O40" s="105"/>
      <c r="P40" s="263"/>
      <c r="Q40" s="264">
        <f t="shared" si="13"/>
        <v>0</v>
      </c>
      <c r="R40" s="263"/>
      <c r="S40" s="264">
        <f t="shared" si="14"/>
        <v>0</v>
      </c>
      <c r="T40" s="263"/>
      <c r="U40" s="264">
        <f t="shared" si="15"/>
        <v>0</v>
      </c>
      <c r="V40" s="263"/>
      <c r="W40" s="264">
        <f t="shared" si="16"/>
        <v>0</v>
      </c>
      <c r="X40" s="263"/>
      <c r="Y40" s="264">
        <f t="shared" si="17"/>
        <v>0</v>
      </c>
      <c r="Z40" s="263"/>
      <c r="AA40" s="264">
        <f t="shared" si="18"/>
        <v>0</v>
      </c>
      <c r="AB40" s="263"/>
      <c r="AC40" s="264">
        <f t="shared" si="19"/>
        <v>0</v>
      </c>
      <c r="AD40" s="263"/>
      <c r="AE40" s="264">
        <f t="shared" si="20"/>
        <v>0</v>
      </c>
      <c r="AF40" s="263"/>
      <c r="AG40" s="264">
        <f t="shared" si="21"/>
        <v>0</v>
      </c>
      <c r="AH40" s="263"/>
      <c r="AI40" s="264">
        <f t="shared" si="22"/>
        <v>0</v>
      </c>
      <c r="AJ40" s="263"/>
      <c r="AK40" s="264">
        <f t="shared" si="23"/>
        <v>0</v>
      </c>
      <c r="AL40" s="263"/>
      <c r="AM40" s="264">
        <f t="shared" si="24"/>
        <v>0</v>
      </c>
      <c r="AN40" s="267">
        <f t="shared" si="25"/>
        <v>0</v>
      </c>
      <c r="AO40" s="268"/>
      <c r="AP40" s="158"/>
    </row>
    <row r="41" spans="1:42" thickBot="1">
      <c r="A41" s="106"/>
      <c r="B41" s="157"/>
      <c r="C41" s="157"/>
      <c r="D41" s="104"/>
      <c r="E41" s="105"/>
      <c r="F41" s="105"/>
      <c r="G41" s="105"/>
      <c r="H41" s="103"/>
      <c r="I41" s="157"/>
      <c r="J41" s="103"/>
      <c r="K41" s="103"/>
      <c r="L41" s="105"/>
      <c r="M41" s="105"/>
      <c r="N41" s="107"/>
      <c r="O41" s="105"/>
      <c r="P41" s="263"/>
      <c r="Q41" s="264">
        <f t="shared" si="13"/>
        <v>0</v>
      </c>
      <c r="R41" s="263"/>
      <c r="S41" s="264">
        <f t="shared" si="14"/>
        <v>0</v>
      </c>
      <c r="T41" s="263"/>
      <c r="U41" s="264">
        <f t="shared" si="15"/>
        <v>0</v>
      </c>
      <c r="V41" s="263"/>
      <c r="W41" s="264">
        <f t="shared" si="16"/>
        <v>0</v>
      </c>
      <c r="X41" s="263"/>
      <c r="Y41" s="264">
        <f t="shared" si="17"/>
        <v>0</v>
      </c>
      <c r="Z41" s="263"/>
      <c r="AA41" s="264">
        <f t="shared" si="18"/>
        <v>0</v>
      </c>
      <c r="AB41" s="263"/>
      <c r="AC41" s="264">
        <f t="shared" si="19"/>
        <v>0</v>
      </c>
      <c r="AD41" s="263"/>
      <c r="AE41" s="264">
        <f t="shared" si="20"/>
        <v>0</v>
      </c>
      <c r="AF41" s="263"/>
      <c r="AG41" s="264">
        <f t="shared" si="21"/>
        <v>0</v>
      </c>
      <c r="AH41" s="263"/>
      <c r="AI41" s="264">
        <f t="shared" si="22"/>
        <v>0</v>
      </c>
      <c r="AJ41" s="263"/>
      <c r="AK41" s="264">
        <f t="shared" si="23"/>
        <v>0</v>
      </c>
      <c r="AL41" s="263"/>
      <c r="AM41" s="264">
        <f t="shared" si="24"/>
        <v>0</v>
      </c>
      <c r="AN41" s="267">
        <f t="shared" si="25"/>
        <v>0</v>
      </c>
      <c r="AO41" s="268"/>
      <c r="AP41" s="158"/>
    </row>
    <row r="42" spans="1:42" thickBot="1">
      <c r="A42" s="106"/>
      <c r="B42" s="157"/>
      <c r="C42" s="157"/>
      <c r="D42" s="104"/>
      <c r="E42" s="105"/>
      <c r="F42" s="105"/>
      <c r="G42" s="105"/>
      <c r="H42" s="103"/>
      <c r="I42" s="157"/>
      <c r="J42" s="103"/>
      <c r="K42" s="103"/>
      <c r="L42" s="105"/>
      <c r="M42" s="105"/>
      <c r="N42" s="107"/>
      <c r="O42" s="105"/>
      <c r="P42" s="263"/>
      <c r="Q42" s="264">
        <f t="shared" si="13"/>
        <v>0</v>
      </c>
      <c r="R42" s="263"/>
      <c r="S42" s="264">
        <f t="shared" si="14"/>
        <v>0</v>
      </c>
      <c r="T42" s="263"/>
      <c r="U42" s="264">
        <f t="shared" si="15"/>
        <v>0</v>
      </c>
      <c r="V42" s="263"/>
      <c r="W42" s="264">
        <f t="shared" si="16"/>
        <v>0</v>
      </c>
      <c r="X42" s="263"/>
      <c r="Y42" s="264">
        <f t="shared" si="17"/>
        <v>0</v>
      </c>
      <c r="Z42" s="263"/>
      <c r="AA42" s="264">
        <f t="shared" si="18"/>
        <v>0</v>
      </c>
      <c r="AB42" s="263"/>
      <c r="AC42" s="264">
        <f t="shared" si="19"/>
        <v>0</v>
      </c>
      <c r="AD42" s="263"/>
      <c r="AE42" s="264">
        <f t="shared" si="20"/>
        <v>0</v>
      </c>
      <c r="AF42" s="263"/>
      <c r="AG42" s="264">
        <f t="shared" si="21"/>
        <v>0</v>
      </c>
      <c r="AH42" s="263"/>
      <c r="AI42" s="264">
        <f t="shared" si="22"/>
        <v>0</v>
      </c>
      <c r="AJ42" s="263"/>
      <c r="AK42" s="264">
        <f t="shared" si="23"/>
        <v>0</v>
      </c>
      <c r="AL42" s="263"/>
      <c r="AM42" s="264">
        <f t="shared" si="24"/>
        <v>0</v>
      </c>
      <c r="AN42" s="267">
        <f t="shared" si="25"/>
        <v>0</v>
      </c>
      <c r="AO42" s="268"/>
      <c r="AP42" s="158"/>
    </row>
    <row r="43" spans="1:42" thickBot="1">
      <c r="A43" s="106"/>
      <c r="B43" s="157"/>
      <c r="C43" s="157"/>
      <c r="D43" s="104"/>
      <c r="E43" s="105"/>
      <c r="F43" s="105"/>
      <c r="G43" s="105"/>
      <c r="H43" s="103"/>
      <c r="I43" s="157"/>
      <c r="J43" s="103"/>
      <c r="K43" s="103"/>
      <c r="L43" s="105"/>
      <c r="M43" s="105"/>
      <c r="N43" s="107"/>
      <c r="O43" s="105"/>
      <c r="P43" s="263"/>
      <c r="Q43" s="264">
        <f t="shared" si="13"/>
        <v>0</v>
      </c>
      <c r="R43" s="263"/>
      <c r="S43" s="264">
        <f t="shared" si="14"/>
        <v>0</v>
      </c>
      <c r="T43" s="263"/>
      <c r="U43" s="264">
        <f t="shared" si="15"/>
        <v>0</v>
      </c>
      <c r="V43" s="263"/>
      <c r="W43" s="264">
        <f t="shared" si="16"/>
        <v>0</v>
      </c>
      <c r="X43" s="263"/>
      <c r="Y43" s="264">
        <f t="shared" si="17"/>
        <v>0</v>
      </c>
      <c r="Z43" s="263"/>
      <c r="AA43" s="264">
        <f t="shared" si="18"/>
        <v>0</v>
      </c>
      <c r="AB43" s="263"/>
      <c r="AC43" s="264">
        <f t="shared" si="19"/>
        <v>0</v>
      </c>
      <c r="AD43" s="263"/>
      <c r="AE43" s="264">
        <f t="shared" si="20"/>
        <v>0</v>
      </c>
      <c r="AF43" s="263"/>
      <c r="AG43" s="264">
        <f t="shared" si="21"/>
        <v>0</v>
      </c>
      <c r="AH43" s="263"/>
      <c r="AI43" s="264">
        <f t="shared" si="22"/>
        <v>0</v>
      </c>
      <c r="AJ43" s="263"/>
      <c r="AK43" s="264">
        <f t="shared" si="23"/>
        <v>0</v>
      </c>
      <c r="AL43" s="263"/>
      <c r="AM43" s="264">
        <f t="shared" si="24"/>
        <v>0</v>
      </c>
      <c r="AN43" s="267">
        <f t="shared" si="25"/>
        <v>0</v>
      </c>
      <c r="AO43" s="268"/>
      <c r="AP43" s="158"/>
    </row>
    <row r="44" spans="1:42" thickBot="1">
      <c r="A44" s="106"/>
      <c r="B44" s="157"/>
      <c r="C44" s="157"/>
      <c r="D44" s="104"/>
      <c r="E44" s="105"/>
      <c r="F44" s="105"/>
      <c r="G44" s="105"/>
      <c r="H44" s="103"/>
      <c r="I44" s="157"/>
      <c r="J44" s="103"/>
      <c r="K44" s="103"/>
      <c r="L44" s="105"/>
      <c r="M44" s="105"/>
      <c r="N44" s="107"/>
      <c r="O44" s="105"/>
      <c r="P44" s="263"/>
      <c r="Q44" s="264">
        <f t="shared" si="13"/>
        <v>0</v>
      </c>
      <c r="R44" s="263"/>
      <c r="S44" s="264">
        <f t="shared" si="14"/>
        <v>0</v>
      </c>
      <c r="T44" s="263"/>
      <c r="U44" s="264">
        <f t="shared" si="15"/>
        <v>0</v>
      </c>
      <c r="V44" s="263"/>
      <c r="W44" s="264">
        <f t="shared" si="16"/>
        <v>0</v>
      </c>
      <c r="X44" s="263"/>
      <c r="Y44" s="264">
        <f t="shared" si="17"/>
        <v>0</v>
      </c>
      <c r="Z44" s="263"/>
      <c r="AA44" s="264">
        <f t="shared" si="18"/>
        <v>0</v>
      </c>
      <c r="AB44" s="263"/>
      <c r="AC44" s="264">
        <f t="shared" si="19"/>
        <v>0</v>
      </c>
      <c r="AD44" s="263"/>
      <c r="AE44" s="264">
        <f t="shared" si="20"/>
        <v>0</v>
      </c>
      <c r="AF44" s="263"/>
      <c r="AG44" s="264">
        <f t="shared" si="21"/>
        <v>0</v>
      </c>
      <c r="AH44" s="263"/>
      <c r="AI44" s="264">
        <f t="shared" si="22"/>
        <v>0</v>
      </c>
      <c r="AJ44" s="263"/>
      <c r="AK44" s="264">
        <f t="shared" si="23"/>
        <v>0</v>
      </c>
      <c r="AL44" s="263"/>
      <c r="AM44" s="264">
        <f t="shared" si="24"/>
        <v>0</v>
      </c>
      <c r="AN44" s="267">
        <f t="shared" si="25"/>
        <v>0</v>
      </c>
      <c r="AO44" s="268"/>
      <c r="AP44" s="158"/>
    </row>
    <row r="45" spans="1:42" thickBot="1">
      <c r="A45" s="106"/>
      <c r="B45" s="157"/>
      <c r="C45" s="157"/>
      <c r="D45" s="104"/>
      <c r="E45" s="105"/>
      <c r="F45" s="105"/>
      <c r="G45" s="105"/>
      <c r="H45" s="103"/>
      <c r="I45" s="157"/>
      <c r="J45" s="103"/>
      <c r="K45" s="103"/>
      <c r="L45" s="105"/>
      <c r="M45" s="105"/>
      <c r="N45" s="107"/>
      <c r="O45" s="105"/>
      <c r="P45" s="263"/>
      <c r="Q45" s="264">
        <f t="shared" si="13"/>
        <v>0</v>
      </c>
      <c r="R45" s="263"/>
      <c r="S45" s="264">
        <f t="shared" si="14"/>
        <v>0</v>
      </c>
      <c r="T45" s="263"/>
      <c r="U45" s="264">
        <f t="shared" si="15"/>
        <v>0</v>
      </c>
      <c r="V45" s="263"/>
      <c r="W45" s="264">
        <f t="shared" si="16"/>
        <v>0</v>
      </c>
      <c r="X45" s="263"/>
      <c r="Y45" s="264">
        <f t="shared" si="17"/>
        <v>0</v>
      </c>
      <c r="Z45" s="263"/>
      <c r="AA45" s="264">
        <f t="shared" si="18"/>
        <v>0</v>
      </c>
      <c r="AB45" s="263"/>
      <c r="AC45" s="264">
        <f t="shared" si="19"/>
        <v>0</v>
      </c>
      <c r="AD45" s="263"/>
      <c r="AE45" s="264">
        <f t="shared" si="20"/>
        <v>0</v>
      </c>
      <c r="AF45" s="263"/>
      <c r="AG45" s="264">
        <f t="shared" si="21"/>
        <v>0</v>
      </c>
      <c r="AH45" s="263"/>
      <c r="AI45" s="264">
        <f t="shared" si="22"/>
        <v>0</v>
      </c>
      <c r="AJ45" s="263"/>
      <c r="AK45" s="264">
        <f t="shared" si="23"/>
        <v>0</v>
      </c>
      <c r="AL45" s="263"/>
      <c r="AM45" s="264">
        <f t="shared" si="24"/>
        <v>0</v>
      </c>
      <c r="AN45" s="267">
        <f t="shared" si="25"/>
        <v>0</v>
      </c>
      <c r="AO45" s="268"/>
      <c r="AP45" s="158"/>
    </row>
    <row r="46" spans="1:42" thickBot="1">
      <c r="A46" s="106"/>
      <c r="B46" s="157"/>
      <c r="C46" s="157"/>
      <c r="D46" s="104"/>
      <c r="E46" s="105"/>
      <c r="F46" s="105"/>
      <c r="G46" s="105"/>
      <c r="H46" s="103"/>
      <c r="I46" s="157"/>
      <c r="J46" s="103"/>
      <c r="K46" s="103"/>
      <c r="L46" s="105"/>
      <c r="M46" s="105"/>
      <c r="N46" s="107"/>
      <c r="O46" s="105"/>
      <c r="P46" s="263"/>
      <c r="Q46" s="264">
        <f t="shared" si="13"/>
        <v>0</v>
      </c>
      <c r="R46" s="263"/>
      <c r="S46" s="264">
        <f t="shared" si="14"/>
        <v>0</v>
      </c>
      <c r="T46" s="263"/>
      <c r="U46" s="264">
        <f t="shared" si="15"/>
        <v>0</v>
      </c>
      <c r="V46" s="263"/>
      <c r="W46" s="264">
        <f t="shared" si="16"/>
        <v>0</v>
      </c>
      <c r="X46" s="263"/>
      <c r="Y46" s="264">
        <f t="shared" si="17"/>
        <v>0</v>
      </c>
      <c r="Z46" s="263"/>
      <c r="AA46" s="264">
        <f t="shared" si="18"/>
        <v>0</v>
      </c>
      <c r="AB46" s="263"/>
      <c r="AC46" s="264">
        <f t="shared" si="19"/>
        <v>0</v>
      </c>
      <c r="AD46" s="263"/>
      <c r="AE46" s="264">
        <f t="shared" si="20"/>
        <v>0</v>
      </c>
      <c r="AF46" s="263"/>
      <c r="AG46" s="264">
        <f t="shared" si="21"/>
        <v>0</v>
      </c>
      <c r="AH46" s="263"/>
      <c r="AI46" s="264">
        <f t="shared" si="22"/>
        <v>0</v>
      </c>
      <c r="AJ46" s="263"/>
      <c r="AK46" s="264">
        <f t="shared" si="23"/>
        <v>0</v>
      </c>
      <c r="AL46" s="263"/>
      <c r="AM46" s="264">
        <f t="shared" si="24"/>
        <v>0</v>
      </c>
      <c r="AN46" s="267">
        <f t="shared" si="25"/>
        <v>0</v>
      </c>
      <c r="AO46" s="268"/>
      <c r="AP46" s="158"/>
    </row>
    <row r="47" spans="1:42" thickBot="1">
      <c r="A47" s="106"/>
      <c r="B47" s="157"/>
      <c r="C47" s="157"/>
      <c r="D47" s="104"/>
      <c r="E47" s="105"/>
      <c r="F47" s="105"/>
      <c r="G47" s="105"/>
      <c r="H47" s="103"/>
      <c r="I47" s="157"/>
      <c r="J47" s="103"/>
      <c r="K47" s="103"/>
      <c r="L47" s="105"/>
      <c r="M47" s="105"/>
      <c r="N47" s="107"/>
      <c r="O47" s="105"/>
      <c r="P47" s="263"/>
      <c r="Q47" s="264">
        <f t="shared" si="13"/>
        <v>0</v>
      </c>
      <c r="R47" s="263"/>
      <c r="S47" s="264">
        <f t="shared" si="14"/>
        <v>0</v>
      </c>
      <c r="T47" s="263"/>
      <c r="U47" s="264">
        <f t="shared" si="15"/>
        <v>0</v>
      </c>
      <c r="V47" s="263"/>
      <c r="W47" s="264">
        <f t="shared" si="16"/>
        <v>0</v>
      </c>
      <c r="X47" s="263"/>
      <c r="Y47" s="264">
        <f t="shared" si="17"/>
        <v>0</v>
      </c>
      <c r="Z47" s="263"/>
      <c r="AA47" s="264">
        <f t="shared" si="18"/>
        <v>0</v>
      </c>
      <c r="AB47" s="263"/>
      <c r="AC47" s="264">
        <f t="shared" si="19"/>
        <v>0</v>
      </c>
      <c r="AD47" s="263"/>
      <c r="AE47" s="264">
        <f t="shared" si="20"/>
        <v>0</v>
      </c>
      <c r="AF47" s="263"/>
      <c r="AG47" s="264">
        <f t="shared" si="21"/>
        <v>0</v>
      </c>
      <c r="AH47" s="263"/>
      <c r="AI47" s="264">
        <f t="shared" si="22"/>
        <v>0</v>
      </c>
      <c r="AJ47" s="263"/>
      <c r="AK47" s="264">
        <f t="shared" si="23"/>
        <v>0</v>
      </c>
      <c r="AL47" s="263"/>
      <c r="AM47" s="264">
        <f t="shared" si="24"/>
        <v>0</v>
      </c>
      <c r="AN47" s="267">
        <f t="shared" si="25"/>
        <v>0</v>
      </c>
      <c r="AO47" s="268"/>
      <c r="AP47" s="158"/>
    </row>
    <row r="48" spans="1:42" thickBot="1">
      <c r="A48" s="106"/>
      <c r="B48" s="157"/>
      <c r="C48" s="157"/>
      <c r="D48" s="104"/>
      <c r="E48" s="105"/>
      <c r="F48" s="105"/>
      <c r="G48" s="105"/>
      <c r="H48" s="103"/>
      <c r="I48" s="157"/>
      <c r="J48" s="103"/>
      <c r="K48" s="103"/>
      <c r="L48" s="105"/>
      <c r="M48" s="105"/>
      <c r="N48" s="107"/>
      <c r="O48" s="105"/>
      <c r="P48" s="263"/>
      <c r="Q48" s="264">
        <f t="shared" si="13"/>
        <v>0</v>
      </c>
      <c r="R48" s="263"/>
      <c r="S48" s="264">
        <f t="shared" si="14"/>
        <v>0</v>
      </c>
      <c r="T48" s="263"/>
      <c r="U48" s="264">
        <f t="shared" si="15"/>
        <v>0</v>
      </c>
      <c r="V48" s="263"/>
      <c r="W48" s="264">
        <f t="shared" si="16"/>
        <v>0</v>
      </c>
      <c r="X48" s="263"/>
      <c r="Y48" s="264">
        <f t="shared" si="17"/>
        <v>0</v>
      </c>
      <c r="Z48" s="263"/>
      <c r="AA48" s="264">
        <f t="shared" si="18"/>
        <v>0</v>
      </c>
      <c r="AB48" s="263"/>
      <c r="AC48" s="264">
        <f t="shared" si="19"/>
        <v>0</v>
      </c>
      <c r="AD48" s="263"/>
      <c r="AE48" s="264">
        <f t="shared" si="20"/>
        <v>0</v>
      </c>
      <c r="AF48" s="263"/>
      <c r="AG48" s="264">
        <f t="shared" si="21"/>
        <v>0</v>
      </c>
      <c r="AH48" s="263"/>
      <c r="AI48" s="264">
        <f t="shared" si="22"/>
        <v>0</v>
      </c>
      <c r="AJ48" s="263"/>
      <c r="AK48" s="264">
        <f t="shared" si="23"/>
        <v>0</v>
      </c>
      <c r="AL48" s="263"/>
      <c r="AM48" s="264">
        <f t="shared" si="24"/>
        <v>0</v>
      </c>
      <c r="AN48" s="267">
        <f t="shared" si="25"/>
        <v>0</v>
      </c>
      <c r="AO48" s="268"/>
      <c r="AP48" s="158"/>
    </row>
    <row r="49" spans="1:42" thickBot="1">
      <c r="A49" s="106"/>
      <c r="B49" s="157"/>
      <c r="C49" s="157"/>
      <c r="D49" s="104"/>
      <c r="E49" s="105"/>
      <c r="F49" s="105"/>
      <c r="G49" s="105"/>
      <c r="H49" s="103"/>
      <c r="I49" s="157"/>
      <c r="J49" s="103"/>
      <c r="K49" s="103"/>
      <c r="L49" s="105"/>
      <c r="M49" s="105"/>
      <c r="N49" s="107"/>
      <c r="O49" s="105"/>
      <c r="P49" s="263"/>
      <c r="Q49" s="264">
        <f t="shared" si="13"/>
        <v>0</v>
      </c>
      <c r="R49" s="263"/>
      <c r="S49" s="264">
        <f t="shared" si="14"/>
        <v>0</v>
      </c>
      <c r="T49" s="263"/>
      <c r="U49" s="264">
        <f t="shared" si="15"/>
        <v>0</v>
      </c>
      <c r="V49" s="263"/>
      <c r="W49" s="264">
        <f t="shared" si="16"/>
        <v>0</v>
      </c>
      <c r="X49" s="263"/>
      <c r="Y49" s="264">
        <f t="shared" si="17"/>
        <v>0</v>
      </c>
      <c r="Z49" s="263"/>
      <c r="AA49" s="264">
        <f t="shared" si="18"/>
        <v>0</v>
      </c>
      <c r="AB49" s="263"/>
      <c r="AC49" s="264">
        <f t="shared" si="19"/>
        <v>0</v>
      </c>
      <c r="AD49" s="263"/>
      <c r="AE49" s="264">
        <f t="shared" si="20"/>
        <v>0</v>
      </c>
      <c r="AF49" s="263"/>
      <c r="AG49" s="264">
        <f t="shared" si="21"/>
        <v>0</v>
      </c>
      <c r="AH49" s="263"/>
      <c r="AI49" s="264">
        <f t="shared" si="22"/>
        <v>0</v>
      </c>
      <c r="AJ49" s="263"/>
      <c r="AK49" s="264">
        <f t="shared" si="23"/>
        <v>0</v>
      </c>
      <c r="AL49" s="263"/>
      <c r="AM49" s="264">
        <f t="shared" si="24"/>
        <v>0</v>
      </c>
      <c r="AN49" s="267">
        <f t="shared" si="25"/>
        <v>0</v>
      </c>
      <c r="AO49" s="268"/>
      <c r="AP49" s="158"/>
    </row>
    <row r="50" spans="1:42" thickBot="1">
      <c r="A50" s="106"/>
      <c r="B50" s="157"/>
      <c r="C50" s="157"/>
      <c r="D50" s="104"/>
      <c r="E50" s="105"/>
      <c r="F50" s="105"/>
      <c r="G50" s="105"/>
      <c r="H50" s="103"/>
      <c r="I50" s="157"/>
      <c r="J50" s="103"/>
      <c r="K50" s="103"/>
      <c r="L50" s="105"/>
      <c r="M50" s="105"/>
      <c r="N50" s="107"/>
      <c r="O50" s="105"/>
      <c r="P50" s="263"/>
      <c r="Q50" s="264">
        <f t="shared" si="13"/>
        <v>0</v>
      </c>
      <c r="R50" s="263"/>
      <c r="S50" s="264">
        <f t="shared" si="14"/>
        <v>0</v>
      </c>
      <c r="T50" s="263"/>
      <c r="U50" s="264">
        <f t="shared" si="15"/>
        <v>0</v>
      </c>
      <c r="V50" s="263"/>
      <c r="W50" s="264">
        <f t="shared" si="16"/>
        <v>0</v>
      </c>
      <c r="X50" s="263"/>
      <c r="Y50" s="264">
        <f t="shared" si="17"/>
        <v>0</v>
      </c>
      <c r="Z50" s="263"/>
      <c r="AA50" s="264">
        <f t="shared" si="18"/>
        <v>0</v>
      </c>
      <c r="AB50" s="263"/>
      <c r="AC50" s="264">
        <f t="shared" si="19"/>
        <v>0</v>
      </c>
      <c r="AD50" s="263"/>
      <c r="AE50" s="264">
        <f t="shared" si="20"/>
        <v>0</v>
      </c>
      <c r="AF50" s="263"/>
      <c r="AG50" s="264">
        <f t="shared" si="21"/>
        <v>0</v>
      </c>
      <c r="AH50" s="263"/>
      <c r="AI50" s="264">
        <f t="shared" si="22"/>
        <v>0</v>
      </c>
      <c r="AJ50" s="263"/>
      <c r="AK50" s="264">
        <f t="shared" si="23"/>
        <v>0</v>
      </c>
      <c r="AL50" s="263"/>
      <c r="AM50" s="264">
        <f t="shared" si="24"/>
        <v>0</v>
      </c>
      <c r="AN50" s="267">
        <f t="shared" si="25"/>
        <v>0</v>
      </c>
      <c r="AO50" s="268"/>
      <c r="AP50" s="158"/>
    </row>
    <row r="51" spans="1:42" thickBot="1">
      <c r="A51" s="106"/>
      <c r="B51" s="157"/>
      <c r="C51" s="157"/>
      <c r="D51" s="104"/>
      <c r="E51" s="105"/>
      <c r="F51" s="105"/>
      <c r="G51" s="105"/>
      <c r="H51" s="103"/>
      <c r="I51" s="157"/>
      <c r="J51" s="103"/>
      <c r="K51" s="103"/>
      <c r="L51" s="105"/>
      <c r="M51" s="105"/>
      <c r="N51" s="107"/>
      <c r="O51" s="105"/>
      <c r="P51" s="263"/>
      <c r="Q51" s="264">
        <f t="shared" si="13"/>
        <v>0</v>
      </c>
      <c r="R51" s="263"/>
      <c r="S51" s="264">
        <f t="shared" si="14"/>
        <v>0</v>
      </c>
      <c r="T51" s="263"/>
      <c r="U51" s="264">
        <f t="shared" si="15"/>
        <v>0</v>
      </c>
      <c r="V51" s="263"/>
      <c r="W51" s="264">
        <f t="shared" si="16"/>
        <v>0</v>
      </c>
      <c r="X51" s="263"/>
      <c r="Y51" s="264">
        <f t="shared" si="17"/>
        <v>0</v>
      </c>
      <c r="Z51" s="263"/>
      <c r="AA51" s="264">
        <f t="shared" si="18"/>
        <v>0</v>
      </c>
      <c r="AB51" s="263"/>
      <c r="AC51" s="264">
        <f t="shared" si="19"/>
        <v>0</v>
      </c>
      <c r="AD51" s="263"/>
      <c r="AE51" s="264">
        <f t="shared" si="20"/>
        <v>0</v>
      </c>
      <c r="AF51" s="263"/>
      <c r="AG51" s="264">
        <f t="shared" si="21"/>
        <v>0</v>
      </c>
      <c r="AH51" s="263"/>
      <c r="AI51" s="264">
        <f t="shared" si="22"/>
        <v>0</v>
      </c>
      <c r="AJ51" s="263"/>
      <c r="AK51" s="264">
        <f t="shared" si="23"/>
        <v>0</v>
      </c>
      <c r="AL51" s="263"/>
      <c r="AM51" s="264">
        <f t="shared" si="24"/>
        <v>0</v>
      </c>
      <c r="AN51" s="267">
        <f t="shared" si="25"/>
        <v>0</v>
      </c>
      <c r="AO51" s="268"/>
      <c r="AP51" s="158"/>
    </row>
    <row r="52" spans="1:42" thickBot="1">
      <c r="A52" s="106"/>
      <c r="B52" s="157"/>
      <c r="C52" s="157"/>
      <c r="D52" s="104"/>
      <c r="E52" s="105"/>
      <c r="F52" s="105"/>
      <c r="G52" s="105"/>
      <c r="H52" s="103"/>
      <c r="I52" s="157"/>
      <c r="J52" s="103"/>
      <c r="K52" s="103"/>
      <c r="L52" s="105"/>
      <c r="M52" s="105"/>
      <c r="N52" s="107"/>
      <c r="O52" s="105"/>
      <c r="P52" s="263"/>
      <c r="Q52" s="264">
        <f t="shared" si="13"/>
        <v>0</v>
      </c>
      <c r="R52" s="263"/>
      <c r="S52" s="264">
        <f t="shared" si="14"/>
        <v>0</v>
      </c>
      <c r="T52" s="263"/>
      <c r="U52" s="264">
        <f t="shared" si="15"/>
        <v>0</v>
      </c>
      <c r="V52" s="263"/>
      <c r="W52" s="264">
        <f t="shared" si="16"/>
        <v>0</v>
      </c>
      <c r="X52" s="263"/>
      <c r="Y52" s="264">
        <f t="shared" si="17"/>
        <v>0</v>
      </c>
      <c r="Z52" s="263"/>
      <c r="AA52" s="264">
        <f t="shared" si="18"/>
        <v>0</v>
      </c>
      <c r="AB52" s="263"/>
      <c r="AC52" s="264">
        <f t="shared" si="19"/>
        <v>0</v>
      </c>
      <c r="AD52" s="263"/>
      <c r="AE52" s="264">
        <f t="shared" si="20"/>
        <v>0</v>
      </c>
      <c r="AF52" s="263"/>
      <c r="AG52" s="264">
        <f t="shared" si="21"/>
        <v>0</v>
      </c>
      <c r="AH52" s="263"/>
      <c r="AI52" s="264">
        <f t="shared" si="22"/>
        <v>0</v>
      </c>
      <c r="AJ52" s="263"/>
      <c r="AK52" s="264">
        <f t="shared" si="23"/>
        <v>0</v>
      </c>
      <c r="AL52" s="263"/>
      <c r="AM52" s="264">
        <f t="shared" si="24"/>
        <v>0</v>
      </c>
      <c r="AN52" s="267">
        <f t="shared" si="25"/>
        <v>0</v>
      </c>
      <c r="AO52" s="268"/>
      <c r="AP52" s="158"/>
    </row>
    <row r="53" spans="1:42" thickBot="1">
      <c r="A53" s="106"/>
      <c r="B53" s="157"/>
      <c r="C53" s="157"/>
      <c r="D53" s="104"/>
      <c r="E53" s="105"/>
      <c r="F53" s="105"/>
      <c r="G53" s="105"/>
      <c r="H53" s="103"/>
      <c r="I53" s="157"/>
      <c r="J53" s="103"/>
      <c r="K53" s="103"/>
      <c r="L53" s="105"/>
      <c r="M53" s="105"/>
      <c r="N53" s="107"/>
      <c r="O53" s="105"/>
      <c r="P53" s="263"/>
      <c r="Q53" s="264">
        <f t="shared" si="13"/>
        <v>0</v>
      </c>
      <c r="R53" s="263"/>
      <c r="S53" s="264">
        <f t="shared" si="14"/>
        <v>0</v>
      </c>
      <c r="T53" s="263"/>
      <c r="U53" s="264">
        <f t="shared" si="15"/>
        <v>0</v>
      </c>
      <c r="V53" s="263"/>
      <c r="W53" s="264">
        <f t="shared" si="16"/>
        <v>0</v>
      </c>
      <c r="X53" s="263"/>
      <c r="Y53" s="264">
        <f t="shared" si="17"/>
        <v>0</v>
      </c>
      <c r="Z53" s="263"/>
      <c r="AA53" s="264">
        <f t="shared" si="18"/>
        <v>0</v>
      </c>
      <c r="AB53" s="263"/>
      <c r="AC53" s="264">
        <f t="shared" si="19"/>
        <v>0</v>
      </c>
      <c r="AD53" s="263"/>
      <c r="AE53" s="264">
        <f t="shared" si="20"/>
        <v>0</v>
      </c>
      <c r="AF53" s="263"/>
      <c r="AG53" s="264">
        <f t="shared" si="21"/>
        <v>0</v>
      </c>
      <c r="AH53" s="263"/>
      <c r="AI53" s="264">
        <f t="shared" si="22"/>
        <v>0</v>
      </c>
      <c r="AJ53" s="263"/>
      <c r="AK53" s="264">
        <f t="shared" si="23"/>
        <v>0</v>
      </c>
      <c r="AL53" s="263"/>
      <c r="AM53" s="264">
        <f t="shared" si="24"/>
        <v>0</v>
      </c>
      <c r="AN53" s="267">
        <f t="shared" si="25"/>
        <v>0</v>
      </c>
      <c r="AO53" s="268"/>
      <c r="AP53" s="158"/>
    </row>
    <row r="54" spans="1:42" thickBot="1">
      <c r="A54" s="106"/>
      <c r="B54" s="157"/>
      <c r="C54" s="157"/>
      <c r="D54" s="104"/>
      <c r="E54" s="105"/>
      <c r="F54" s="105"/>
      <c r="G54" s="105"/>
      <c r="H54" s="103"/>
      <c r="I54" s="157"/>
      <c r="J54" s="103"/>
      <c r="K54" s="103"/>
      <c r="L54" s="105"/>
      <c r="M54" s="105"/>
      <c r="N54" s="107"/>
      <c r="O54" s="105"/>
      <c r="P54" s="263"/>
      <c r="Q54" s="264">
        <f t="shared" si="13"/>
        <v>0</v>
      </c>
      <c r="R54" s="263"/>
      <c r="S54" s="264">
        <f t="shared" si="14"/>
        <v>0</v>
      </c>
      <c r="T54" s="263"/>
      <c r="U54" s="264">
        <f t="shared" si="15"/>
        <v>0</v>
      </c>
      <c r="V54" s="263"/>
      <c r="W54" s="264">
        <f t="shared" si="16"/>
        <v>0</v>
      </c>
      <c r="X54" s="263"/>
      <c r="Y54" s="264">
        <f t="shared" si="17"/>
        <v>0</v>
      </c>
      <c r="Z54" s="263"/>
      <c r="AA54" s="264">
        <f t="shared" si="18"/>
        <v>0</v>
      </c>
      <c r="AB54" s="263"/>
      <c r="AC54" s="264">
        <f t="shared" si="19"/>
        <v>0</v>
      </c>
      <c r="AD54" s="263"/>
      <c r="AE54" s="264">
        <f t="shared" si="20"/>
        <v>0</v>
      </c>
      <c r="AF54" s="263"/>
      <c r="AG54" s="264">
        <f t="shared" si="21"/>
        <v>0</v>
      </c>
      <c r="AH54" s="263"/>
      <c r="AI54" s="264">
        <f t="shared" si="22"/>
        <v>0</v>
      </c>
      <c r="AJ54" s="263"/>
      <c r="AK54" s="264">
        <f t="shared" si="23"/>
        <v>0</v>
      </c>
      <c r="AL54" s="263"/>
      <c r="AM54" s="264">
        <f t="shared" si="24"/>
        <v>0</v>
      </c>
      <c r="AN54" s="267">
        <f t="shared" si="25"/>
        <v>0</v>
      </c>
      <c r="AO54" s="268"/>
      <c r="AP54" s="158"/>
    </row>
    <row r="55" spans="1:42" thickBot="1">
      <c r="A55" s="106"/>
      <c r="B55" s="157"/>
      <c r="C55" s="157"/>
      <c r="D55" s="104"/>
      <c r="E55" s="105"/>
      <c r="F55" s="105"/>
      <c r="G55" s="105"/>
      <c r="H55" s="103"/>
      <c r="I55" s="157"/>
      <c r="J55" s="103"/>
      <c r="K55" s="103"/>
      <c r="L55" s="105"/>
      <c r="M55" s="105"/>
      <c r="N55" s="107"/>
      <c r="O55" s="105"/>
      <c r="P55" s="263"/>
      <c r="Q55" s="264">
        <f t="shared" si="13"/>
        <v>0</v>
      </c>
      <c r="R55" s="263"/>
      <c r="S55" s="264">
        <f t="shared" si="14"/>
        <v>0</v>
      </c>
      <c r="T55" s="263"/>
      <c r="U55" s="264">
        <f t="shared" si="15"/>
        <v>0</v>
      </c>
      <c r="V55" s="263"/>
      <c r="W55" s="264">
        <f t="shared" si="16"/>
        <v>0</v>
      </c>
      <c r="X55" s="263"/>
      <c r="Y55" s="264">
        <f t="shared" si="17"/>
        <v>0</v>
      </c>
      <c r="Z55" s="263"/>
      <c r="AA55" s="264">
        <f t="shared" si="18"/>
        <v>0</v>
      </c>
      <c r="AB55" s="263"/>
      <c r="AC55" s="264">
        <f t="shared" si="19"/>
        <v>0</v>
      </c>
      <c r="AD55" s="263"/>
      <c r="AE55" s="264">
        <f t="shared" si="20"/>
        <v>0</v>
      </c>
      <c r="AF55" s="263"/>
      <c r="AG55" s="264">
        <f t="shared" si="21"/>
        <v>0</v>
      </c>
      <c r="AH55" s="263"/>
      <c r="AI55" s="264">
        <f t="shared" si="22"/>
        <v>0</v>
      </c>
      <c r="AJ55" s="263"/>
      <c r="AK55" s="264">
        <f t="shared" si="23"/>
        <v>0</v>
      </c>
      <c r="AL55" s="263"/>
      <c r="AM55" s="264">
        <f t="shared" si="24"/>
        <v>0</v>
      </c>
      <c r="AN55" s="267">
        <f t="shared" si="25"/>
        <v>0</v>
      </c>
      <c r="AO55" s="268"/>
      <c r="AP55" s="158"/>
    </row>
    <row r="56" spans="1:42" thickBot="1">
      <c r="A56" s="106"/>
      <c r="B56" s="157"/>
      <c r="C56" s="157"/>
      <c r="D56" s="104"/>
      <c r="E56" s="105"/>
      <c r="F56" s="105"/>
      <c r="G56" s="105"/>
      <c r="H56" s="103"/>
      <c r="I56" s="157"/>
      <c r="J56" s="103"/>
      <c r="K56" s="103"/>
      <c r="L56" s="105"/>
      <c r="M56" s="105"/>
      <c r="N56" s="107"/>
      <c r="O56" s="105"/>
      <c r="P56" s="263"/>
      <c r="Q56" s="264">
        <f t="shared" si="13"/>
        <v>0</v>
      </c>
      <c r="R56" s="263"/>
      <c r="S56" s="264">
        <f t="shared" si="14"/>
        <v>0</v>
      </c>
      <c r="T56" s="263"/>
      <c r="U56" s="264">
        <f t="shared" si="15"/>
        <v>0</v>
      </c>
      <c r="V56" s="263"/>
      <c r="W56" s="264">
        <f t="shared" si="16"/>
        <v>0</v>
      </c>
      <c r="X56" s="263"/>
      <c r="Y56" s="264">
        <f t="shared" si="17"/>
        <v>0</v>
      </c>
      <c r="Z56" s="263"/>
      <c r="AA56" s="264">
        <f t="shared" si="18"/>
        <v>0</v>
      </c>
      <c r="AB56" s="263"/>
      <c r="AC56" s="264">
        <f t="shared" si="19"/>
        <v>0</v>
      </c>
      <c r="AD56" s="263"/>
      <c r="AE56" s="264">
        <f t="shared" si="20"/>
        <v>0</v>
      </c>
      <c r="AF56" s="263"/>
      <c r="AG56" s="264">
        <f t="shared" si="21"/>
        <v>0</v>
      </c>
      <c r="AH56" s="263"/>
      <c r="AI56" s="264">
        <f t="shared" si="22"/>
        <v>0</v>
      </c>
      <c r="AJ56" s="263"/>
      <c r="AK56" s="264">
        <f t="shared" si="23"/>
        <v>0</v>
      </c>
      <c r="AL56" s="263"/>
      <c r="AM56" s="264">
        <f t="shared" si="24"/>
        <v>0</v>
      </c>
      <c r="AN56" s="267">
        <f t="shared" si="25"/>
        <v>0</v>
      </c>
      <c r="AO56" s="268"/>
      <c r="AP56" s="158"/>
    </row>
    <row r="57" spans="1:42" thickBot="1">
      <c r="A57" s="106"/>
      <c r="B57" s="157"/>
      <c r="C57" s="157"/>
      <c r="D57" s="104"/>
      <c r="E57" s="105"/>
      <c r="F57" s="105"/>
      <c r="G57" s="105"/>
      <c r="H57" s="103"/>
      <c r="I57" s="157"/>
      <c r="J57" s="103"/>
      <c r="K57" s="103"/>
      <c r="L57" s="105"/>
      <c r="M57" s="105"/>
      <c r="N57" s="107"/>
      <c r="O57" s="105"/>
      <c r="P57" s="263"/>
      <c r="Q57" s="264">
        <f t="shared" si="13"/>
        <v>0</v>
      </c>
      <c r="R57" s="263"/>
      <c r="S57" s="264">
        <f t="shared" si="14"/>
        <v>0</v>
      </c>
      <c r="T57" s="263"/>
      <c r="U57" s="264">
        <f t="shared" si="15"/>
        <v>0</v>
      </c>
      <c r="V57" s="263"/>
      <c r="W57" s="264">
        <f t="shared" si="16"/>
        <v>0</v>
      </c>
      <c r="X57" s="263"/>
      <c r="Y57" s="264">
        <f t="shared" si="17"/>
        <v>0</v>
      </c>
      <c r="Z57" s="263"/>
      <c r="AA57" s="264">
        <f t="shared" si="18"/>
        <v>0</v>
      </c>
      <c r="AB57" s="263"/>
      <c r="AC57" s="264">
        <f t="shared" si="19"/>
        <v>0</v>
      </c>
      <c r="AD57" s="263"/>
      <c r="AE57" s="264">
        <f t="shared" si="20"/>
        <v>0</v>
      </c>
      <c r="AF57" s="263"/>
      <c r="AG57" s="264">
        <f t="shared" si="21"/>
        <v>0</v>
      </c>
      <c r="AH57" s="263"/>
      <c r="AI57" s="264">
        <f t="shared" si="22"/>
        <v>0</v>
      </c>
      <c r="AJ57" s="263"/>
      <c r="AK57" s="264">
        <f t="shared" si="23"/>
        <v>0</v>
      </c>
      <c r="AL57" s="263"/>
      <c r="AM57" s="264">
        <f t="shared" si="24"/>
        <v>0</v>
      </c>
      <c r="AN57" s="267">
        <f t="shared" si="25"/>
        <v>0</v>
      </c>
      <c r="AO57" s="268"/>
      <c r="AP57" s="158"/>
    </row>
    <row r="58" spans="1:42" thickBot="1">
      <c r="A58" s="106"/>
      <c r="B58" s="157"/>
      <c r="C58" s="157"/>
      <c r="D58" s="104"/>
      <c r="E58" s="105"/>
      <c r="F58" s="105"/>
      <c r="G58" s="105"/>
      <c r="H58" s="103"/>
      <c r="I58" s="157"/>
      <c r="J58" s="103"/>
      <c r="K58" s="103"/>
      <c r="L58" s="105"/>
      <c r="M58" s="105"/>
      <c r="N58" s="107"/>
      <c r="O58" s="105"/>
      <c r="P58" s="263"/>
      <c r="Q58" s="264">
        <f t="shared" si="13"/>
        <v>0</v>
      </c>
      <c r="R58" s="263"/>
      <c r="S58" s="264">
        <f t="shared" si="14"/>
        <v>0</v>
      </c>
      <c r="T58" s="263"/>
      <c r="U58" s="264">
        <f t="shared" si="15"/>
        <v>0</v>
      </c>
      <c r="V58" s="263"/>
      <c r="W58" s="264">
        <f t="shared" si="16"/>
        <v>0</v>
      </c>
      <c r="X58" s="263"/>
      <c r="Y58" s="264">
        <f t="shared" si="17"/>
        <v>0</v>
      </c>
      <c r="Z58" s="263"/>
      <c r="AA58" s="264">
        <f t="shared" si="18"/>
        <v>0</v>
      </c>
      <c r="AB58" s="263"/>
      <c r="AC58" s="264">
        <f t="shared" si="19"/>
        <v>0</v>
      </c>
      <c r="AD58" s="263"/>
      <c r="AE58" s="264">
        <f t="shared" si="20"/>
        <v>0</v>
      </c>
      <c r="AF58" s="263"/>
      <c r="AG58" s="264">
        <f t="shared" si="21"/>
        <v>0</v>
      </c>
      <c r="AH58" s="263"/>
      <c r="AI58" s="264">
        <f t="shared" si="22"/>
        <v>0</v>
      </c>
      <c r="AJ58" s="263"/>
      <c r="AK58" s="264">
        <f t="shared" si="23"/>
        <v>0</v>
      </c>
      <c r="AL58" s="263"/>
      <c r="AM58" s="264">
        <f t="shared" si="24"/>
        <v>0</v>
      </c>
      <c r="AN58" s="267">
        <f t="shared" si="25"/>
        <v>0</v>
      </c>
      <c r="AO58" s="268"/>
      <c r="AP58" s="158"/>
    </row>
    <row r="59" spans="1:42" thickBot="1">
      <c r="A59" s="106"/>
      <c r="B59" s="157"/>
      <c r="C59" s="157"/>
      <c r="D59" s="104"/>
      <c r="E59" s="105"/>
      <c r="F59" s="105"/>
      <c r="G59" s="105"/>
      <c r="H59" s="103"/>
      <c r="I59" s="157"/>
      <c r="J59" s="103"/>
      <c r="K59" s="103"/>
      <c r="L59" s="105"/>
      <c r="M59" s="105"/>
      <c r="N59" s="107"/>
      <c r="O59" s="105"/>
      <c r="P59" s="263"/>
      <c r="Q59" s="264">
        <f t="shared" si="13"/>
        <v>0</v>
      </c>
      <c r="R59" s="263"/>
      <c r="S59" s="264">
        <f t="shared" si="14"/>
        <v>0</v>
      </c>
      <c r="T59" s="263"/>
      <c r="U59" s="264">
        <f t="shared" si="15"/>
        <v>0</v>
      </c>
      <c r="V59" s="263"/>
      <c r="W59" s="264">
        <f t="shared" si="16"/>
        <v>0</v>
      </c>
      <c r="X59" s="263"/>
      <c r="Y59" s="264">
        <f t="shared" si="17"/>
        <v>0</v>
      </c>
      <c r="Z59" s="263"/>
      <c r="AA59" s="264">
        <f t="shared" si="18"/>
        <v>0</v>
      </c>
      <c r="AB59" s="263"/>
      <c r="AC59" s="264">
        <f t="shared" si="19"/>
        <v>0</v>
      </c>
      <c r="AD59" s="263"/>
      <c r="AE59" s="264">
        <f t="shared" si="20"/>
        <v>0</v>
      </c>
      <c r="AF59" s="263"/>
      <c r="AG59" s="264">
        <f t="shared" si="21"/>
        <v>0</v>
      </c>
      <c r="AH59" s="263"/>
      <c r="AI59" s="264">
        <f t="shared" si="22"/>
        <v>0</v>
      </c>
      <c r="AJ59" s="263"/>
      <c r="AK59" s="264">
        <f t="shared" si="23"/>
        <v>0</v>
      </c>
      <c r="AL59" s="263"/>
      <c r="AM59" s="264">
        <f t="shared" si="24"/>
        <v>0</v>
      </c>
      <c r="AN59" s="267">
        <f t="shared" si="25"/>
        <v>0</v>
      </c>
      <c r="AO59" s="268"/>
      <c r="AP59" s="158"/>
    </row>
    <row r="60" spans="1:42" thickBot="1">
      <c r="A60" s="106"/>
      <c r="B60" s="157"/>
      <c r="C60" s="157"/>
      <c r="D60" s="104"/>
      <c r="E60" s="105"/>
      <c r="F60" s="105"/>
      <c r="G60" s="105"/>
      <c r="H60" s="103"/>
      <c r="I60" s="157"/>
      <c r="J60" s="103"/>
      <c r="K60" s="103"/>
      <c r="L60" s="105"/>
      <c r="M60" s="105"/>
      <c r="N60" s="107"/>
      <c r="O60" s="105"/>
      <c r="P60" s="263"/>
      <c r="Q60" s="264">
        <f t="shared" si="13"/>
        <v>0</v>
      </c>
      <c r="R60" s="263"/>
      <c r="S60" s="264">
        <f t="shared" si="14"/>
        <v>0</v>
      </c>
      <c r="T60" s="263"/>
      <c r="U60" s="264">
        <f t="shared" si="15"/>
        <v>0</v>
      </c>
      <c r="V60" s="263"/>
      <c r="W60" s="264">
        <f t="shared" si="16"/>
        <v>0</v>
      </c>
      <c r="X60" s="263"/>
      <c r="Y60" s="264">
        <f t="shared" si="17"/>
        <v>0</v>
      </c>
      <c r="Z60" s="263"/>
      <c r="AA60" s="264">
        <f t="shared" si="18"/>
        <v>0</v>
      </c>
      <c r="AB60" s="263"/>
      <c r="AC60" s="264">
        <f t="shared" si="19"/>
        <v>0</v>
      </c>
      <c r="AD60" s="263"/>
      <c r="AE60" s="264">
        <f t="shared" si="20"/>
        <v>0</v>
      </c>
      <c r="AF60" s="263"/>
      <c r="AG60" s="264">
        <f t="shared" si="21"/>
        <v>0</v>
      </c>
      <c r="AH60" s="263"/>
      <c r="AI60" s="264">
        <f t="shared" si="22"/>
        <v>0</v>
      </c>
      <c r="AJ60" s="263"/>
      <c r="AK60" s="264">
        <f t="shared" si="23"/>
        <v>0</v>
      </c>
      <c r="AL60" s="263"/>
      <c r="AM60" s="264">
        <f t="shared" si="24"/>
        <v>0</v>
      </c>
      <c r="AN60" s="267">
        <f t="shared" si="25"/>
        <v>0</v>
      </c>
      <c r="AO60" s="268"/>
      <c r="AP60" s="158"/>
    </row>
    <row r="61" spans="1:42" thickBot="1">
      <c r="A61" s="106"/>
      <c r="B61" s="157"/>
      <c r="C61" s="157"/>
      <c r="D61" s="104"/>
      <c r="E61" s="105"/>
      <c r="F61" s="105"/>
      <c r="G61" s="105"/>
      <c r="H61" s="103"/>
      <c r="I61" s="157"/>
      <c r="J61" s="103"/>
      <c r="K61" s="103"/>
      <c r="L61" s="105"/>
      <c r="M61" s="105"/>
      <c r="N61" s="107"/>
      <c r="O61" s="105"/>
      <c r="P61" s="263"/>
      <c r="Q61" s="264">
        <f t="shared" si="13"/>
        <v>0</v>
      </c>
      <c r="R61" s="263"/>
      <c r="S61" s="264">
        <f t="shared" si="14"/>
        <v>0</v>
      </c>
      <c r="T61" s="263"/>
      <c r="U61" s="264">
        <f t="shared" si="15"/>
        <v>0</v>
      </c>
      <c r="V61" s="263"/>
      <c r="W61" s="264">
        <f t="shared" si="16"/>
        <v>0</v>
      </c>
      <c r="X61" s="263"/>
      <c r="Y61" s="264">
        <f t="shared" si="17"/>
        <v>0</v>
      </c>
      <c r="Z61" s="263"/>
      <c r="AA61" s="264">
        <f t="shared" si="18"/>
        <v>0</v>
      </c>
      <c r="AB61" s="263"/>
      <c r="AC61" s="264">
        <f t="shared" si="19"/>
        <v>0</v>
      </c>
      <c r="AD61" s="263"/>
      <c r="AE61" s="264">
        <f t="shared" si="20"/>
        <v>0</v>
      </c>
      <c r="AF61" s="263"/>
      <c r="AG61" s="264">
        <f t="shared" si="21"/>
        <v>0</v>
      </c>
      <c r="AH61" s="263"/>
      <c r="AI61" s="264">
        <f t="shared" si="22"/>
        <v>0</v>
      </c>
      <c r="AJ61" s="263"/>
      <c r="AK61" s="264">
        <f t="shared" si="23"/>
        <v>0</v>
      </c>
      <c r="AL61" s="263"/>
      <c r="AM61" s="264">
        <f t="shared" si="24"/>
        <v>0</v>
      </c>
      <c r="AN61" s="267">
        <f t="shared" si="25"/>
        <v>0</v>
      </c>
      <c r="AO61" s="268"/>
      <c r="AP61" s="158"/>
    </row>
    <row r="62" spans="1:42" thickBot="1">
      <c r="A62" s="106"/>
      <c r="B62" s="157"/>
      <c r="C62" s="157"/>
      <c r="D62" s="104"/>
      <c r="E62" s="105"/>
      <c r="F62" s="105"/>
      <c r="G62" s="105"/>
      <c r="H62" s="103"/>
      <c r="I62" s="157"/>
      <c r="J62" s="103"/>
      <c r="K62" s="103"/>
      <c r="L62" s="105"/>
      <c r="M62" s="105"/>
      <c r="N62" s="107"/>
      <c r="O62" s="105"/>
      <c r="P62" s="263"/>
      <c r="Q62" s="264">
        <f t="shared" si="13"/>
        <v>0</v>
      </c>
      <c r="R62" s="263"/>
      <c r="S62" s="264">
        <f t="shared" si="14"/>
        <v>0</v>
      </c>
      <c r="T62" s="263"/>
      <c r="U62" s="264">
        <f t="shared" si="15"/>
        <v>0</v>
      </c>
      <c r="V62" s="263"/>
      <c r="W62" s="264">
        <f t="shared" si="16"/>
        <v>0</v>
      </c>
      <c r="X62" s="263"/>
      <c r="Y62" s="264">
        <f t="shared" si="17"/>
        <v>0</v>
      </c>
      <c r="Z62" s="263"/>
      <c r="AA62" s="264">
        <f t="shared" si="18"/>
        <v>0</v>
      </c>
      <c r="AB62" s="263"/>
      <c r="AC62" s="264">
        <f t="shared" si="19"/>
        <v>0</v>
      </c>
      <c r="AD62" s="263"/>
      <c r="AE62" s="264">
        <f t="shared" si="20"/>
        <v>0</v>
      </c>
      <c r="AF62" s="263"/>
      <c r="AG62" s="264">
        <f t="shared" si="21"/>
        <v>0</v>
      </c>
      <c r="AH62" s="263"/>
      <c r="AI62" s="264">
        <f t="shared" si="22"/>
        <v>0</v>
      </c>
      <c r="AJ62" s="263"/>
      <c r="AK62" s="264">
        <f t="shared" si="23"/>
        <v>0</v>
      </c>
      <c r="AL62" s="263"/>
      <c r="AM62" s="264">
        <f t="shared" si="24"/>
        <v>0</v>
      </c>
      <c r="AN62" s="267">
        <f t="shared" si="25"/>
        <v>0</v>
      </c>
      <c r="AO62" s="268"/>
      <c r="AP62" s="158"/>
    </row>
    <row r="63" spans="1:42" thickBot="1">
      <c r="A63" s="106"/>
      <c r="B63" s="157"/>
      <c r="C63" s="157"/>
      <c r="D63" s="104"/>
      <c r="E63" s="105"/>
      <c r="F63" s="105"/>
      <c r="G63" s="105"/>
      <c r="H63" s="103"/>
      <c r="I63" s="157"/>
      <c r="J63" s="103"/>
      <c r="K63" s="103"/>
      <c r="L63" s="105"/>
      <c r="M63" s="105"/>
      <c r="N63" s="107"/>
      <c r="O63" s="105"/>
      <c r="P63" s="263"/>
      <c r="Q63" s="264">
        <f t="shared" si="13"/>
        <v>0</v>
      </c>
      <c r="R63" s="263"/>
      <c r="S63" s="264">
        <f t="shared" si="14"/>
        <v>0</v>
      </c>
      <c r="T63" s="263"/>
      <c r="U63" s="264">
        <f t="shared" si="15"/>
        <v>0</v>
      </c>
      <c r="V63" s="263"/>
      <c r="W63" s="264">
        <f t="shared" si="16"/>
        <v>0</v>
      </c>
      <c r="X63" s="263"/>
      <c r="Y63" s="264">
        <f t="shared" si="17"/>
        <v>0</v>
      </c>
      <c r="Z63" s="263"/>
      <c r="AA63" s="264">
        <f t="shared" si="18"/>
        <v>0</v>
      </c>
      <c r="AB63" s="263"/>
      <c r="AC63" s="264">
        <f t="shared" si="19"/>
        <v>0</v>
      </c>
      <c r="AD63" s="263"/>
      <c r="AE63" s="264">
        <f t="shared" si="20"/>
        <v>0</v>
      </c>
      <c r="AF63" s="263"/>
      <c r="AG63" s="264">
        <f t="shared" si="21"/>
        <v>0</v>
      </c>
      <c r="AH63" s="263"/>
      <c r="AI63" s="264">
        <f t="shared" si="22"/>
        <v>0</v>
      </c>
      <c r="AJ63" s="263"/>
      <c r="AK63" s="264">
        <f t="shared" si="23"/>
        <v>0</v>
      </c>
      <c r="AL63" s="263"/>
      <c r="AM63" s="264">
        <f t="shared" si="24"/>
        <v>0</v>
      </c>
      <c r="AN63" s="267">
        <f t="shared" si="25"/>
        <v>0</v>
      </c>
      <c r="AO63" s="268"/>
      <c r="AP63" s="158"/>
    </row>
    <row r="64" spans="1:42" thickBot="1">
      <c r="A64" s="106"/>
      <c r="B64" s="157"/>
      <c r="C64" s="157"/>
      <c r="D64" s="104"/>
      <c r="E64" s="105"/>
      <c r="F64" s="105"/>
      <c r="G64" s="105"/>
      <c r="H64" s="103"/>
      <c r="I64" s="157"/>
      <c r="J64" s="103"/>
      <c r="K64" s="103"/>
      <c r="L64" s="105"/>
      <c r="M64" s="105"/>
      <c r="N64" s="107"/>
      <c r="O64" s="105"/>
      <c r="P64" s="263"/>
      <c r="Q64" s="264">
        <f t="shared" si="13"/>
        <v>0</v>
      </c>
      <c r="R64" s="263"/>
      <c r="S64" s="264">
        <f t="shared" si="14"/>
        <v>0</v>
      </c>
      <c r="T64" s="263"/>
      <c r="U64" s="264">
        <f t="shared" si="15"/>
        <v>0</v>
      </c>
      <c r="V64" s="263"/>
      <c r="W64" s="264">
        <f t="shared" si="16"/>
        <v>0</v>
      </c>
      <c r="X64" s="263"/>
      <c r="Y64" s="264">
        <f t="shared" si="17"/>
        <v>0</v>
      </c>
      <c r="Z64" s="263"/>
      <c r="AA64" s="264">
        <f t="shared" si="18"/>
        <v>0</v>
      </c>
      <c r="AB64" s="263"/>
      <c r="AC64" s="264">
        <f t="shared" si="19"/>
        <v>0</v>
      </c>
      <c r="AD64" s="263"/>
      <c r="AE64" s="264">
        <f t="shared" si="20"/>
        <v>0</v>
      </c>
      <c r="AF64" s="263"/>
      <c r="AG64" s="264">
        <f t="shared" si="21"/>
        <v>0</v>
      </c>
      <c r="AH64" s="263"/>
      <c r="AI64" s="264">
        <f t="shared" si="22"/>
        <v>0</v>
      </c>
      <c r="AJ64" s="263"/>
      <c r="AK64" s="264">
        <f t="shared" si="23"/>
        <v>0</v>
      </c>
      <c r="AL64" s="263"/>
      <c r="AM64" s="264">
        <f t="shared" si="24"/>
        <v>0</v>
      </c>
      <c r="AN64" s="267">
        <f t="shared" si="25"/>
        <v>0</v>
      </c>
      <c r="AO64" s="268"/>
      <c r="AP64" s="158"/>
    </row>
    <row r="65" spans="1:42" thickBot="1">
      <c r="A65" s="106"/>
      <c r="B65" s="157"/>
      <c r="C65" s="157"/>
      <c r="D65" s="104"/>
      <c r="E65" s="105"/>
      <c r="F65" s="105"/>
      <c r="G65" s="105"/>
      <c r="H65" s="103"/>
      <c r="I65" s="157"/>
      <c r="J65" s="103"/>
      <c r="K65" s="103"/>
      <c r="L65" s="105"/>
      <c r="M65" s="105"/>
      <c r="N65" s="107"/>
      <c r="O65" s="105"/>
      <c r="P65" s="263"/>
      <c r="Q65" s="264">
        <f t="shared" si="13"/>
        <v>0</v>
      </c>
      <c r="R65" s="263"/>
      <c r="S65" s="264">
        <f t="shared" si="14"/>
        <v>0</v>
      </c>
      <c r="T65" s="263"/>
      <c r="U65" s="264">
        <f t="shared" si="15"/>
        <v>0</v>
      </c>
      <c r="V65" s="263"/>
      <c r="W65" s="264">
        <f t="shared" si="16"/>
        <v>0</v>
      </c>
      <c r="X65" s="263"/>
      <c r="Y65" s="264">
        <f t="shared" si="17"/>
        <v>0</v>
      </c>
      <c r="Z65" s="263"/>
      <c r="AA65" s="264">
        <f t="shared" si="18"/>
        <v>0</v>
      </c>
      <c r="AB65" s="263"/>
      <c r="AC65" s="264">
        <f t="shared" si="19"/>
        <v>0</v>
      </c>
      <c r="AD65" s="263"/>
      <c r="AE65" s="264">
        <f t="shared" si="20"/>
        <v>0</v>
      </c>
      <c r="AF65" s="263"/>
      <c r="AG65" s="264">
        <f t="shared" si="21"/>
        <v>0</v>
      </c>
      <c r="AH65" s="263"/>
      <c r="AI65" s="264">
        <f t="shared" si="22"/>
        <v>0</v>
      </c>
      <c r="AJ65" s="263"/>
      <c r="AK65" s="264">
        <f t="shared" si="23"/>
        <v>0</v>
      </c>
      <c r="AL65" s="263"/>
      <c r="AM65" s="264">
        <f t="shared" si="24"/>
        <v>0</v>
      </c>
      <c r="AN65" s="267">
        <f t="shared" si="25"/>
        <v>0</v>
      </c>
      <c r="AO65" s="268"/>
      <c r="AP65" s="158"/>
    </row>
    <row r="66" spans="1:42" thickBot="1">
      <c r="A66" s="106"/>
      <c r="B66" s="157"/>
      <c r="C66" s="157"/>
      <c r="D66" s="104"/>
      <c r="E66" s="105"/>
      <c r="F66" s="105"/>
      <c r="G66" s="105"/>
      <c r="H66" s="103"/>
      <c r="I66" s="157"/>
      <c r="J66" s="103"/>
      <c r="K66" s="103"/>
      <c r="L66" s="105"/>
      <c r="M66" s="105"/>
      <c r="N66" s="107"/>
      <c r="O66" s="105"/>
      <c r="P66" s="263"/>
      <c r="Q66" s="264">
        <f t="shared" si="13"/>
        <v>0</v>
      </c>
      <c r="R66" s="263"/>
      <c r="S66" s="264">
        <f t="shared" si="14"/>
        <v>0</v>
      </c>
      <c r="T66" s="263"/>
      <c r="U66" s="264">
        <f t="shared" si="15"/>
        <v>0</v>
      </c>
      <c r="V66" s="263"/>
      <c r="W66" s="264">
        <f t="shared" si="16"/>
        <v>0</v>
      </c>
      <c r="X66" s="263"/>
      <c r="Y66" s="264">
        <f t="shared" si="17"/>
        <v>0</v>
      </c>
      <c r="Z66" s="263"/>
      <c r="AA66" s="264">
        <f t="shared" si="18"/>
        <v>0</v>
      </c>
      <c r="AB66" s="263"/>
      <c r="AC66" s="264">
        <f t="shared" si="19"/>
        <v>0</v>
      </c>
      <c r="AD66" s="263"/>
      <c r="AE66" s="264">
        <f t="shared" si="20"/>
        <v>0</v>
      </c>
      <c r="AF66" s="263"/>
      <c r="AG66" s="264">
        <f t="shared" si="21"/>
        <v>0</v>
      </c>
      <c r="AH66" s="263"/>
      <c r="AI66" s="264">
        <f t="shared" si="22"/>
        <v>0</v>
      </c>
      <c r="AJ66" s="263"/>
      <c r="AK66" s="264">
        <f t="shared" si="23"/>
        <v>0</v>
      </c>
      <c r="AL66" s="263"/>
      <c r="AM66" s="264">
        <f t="shared" si="24"/>
        <v>0</v>
      </c>
      <c r="AN66" s="267">
        <f t="shared" si="25"/>
        <v>0</v>
      </c>
      <c r="AO66" s="268"/>
      <c r="AP66" s="158"/>
    </row>
    <row r="67" spans="1:42" thickBot="1">
      <c r="A67" s="106"/>
      <c r="B67" s="157"/>
      <c r="C67" s="157"/>
      <c r="D67" s="104"/>
      <c r="E67" s="105"/>
      <c r="F67" s="105"/>
      <c r="G67" s="105"/>
      <c r="H67" s="103"/>
      <c r="I67" s="157"/>
      <c r="J67" s="103"/>
      <c r="K67" s="103"/>
      <c r="L67" s="105"/>
      <c r="M67" s="105"/>
      <c r="N67" s="107"/>
      <c r="O67" s="105"/>
      <c r="P67" s="263"/>
      <c r="Q67" s="264">
        <f t="shared" si="13"/>
        <v>0</v>
      </c>
      <c r="R67" s="263"/>
      <c r="S67" s="264">
        <f t="shared" si="14"/>
        <v>0</v>
      </c>
      <c r="T67" s="263"/>
      <c r="U67" s="264">
        <f t="shared" si="15"/>
        <v>0</v>
      </c>
      <c r="V67" s="263"/>
      <c r="W67" s="264">
        <f t="shared" si="16"/>
        <v>0</v>
      </c>
      <c r="X67" s="263"/>
      <c r="Y67" s="264">
        <f t="shared" si="17"/>
        <v>0</v>
      </c>
      <c r="Z67" s="263"/>
      <c r="AA67" s="264">
        <f t="shared" si="18"/>
        <v>0</v>
      </c>
      <c r="AB67" s="263"/>
      <c r="AC67" s="264">
        <f t="shared" si="19"/>
        <v>0</v>
      </c>
      <c r="AD67" s="263"/>
      <c r="AE67" s="264">
        <f t="shared" si="20"/>
        <v>0</v>
      </c>
      <c r="AF67" s="263"/>
      <c r="AG67" s="264">
        <f t="shared" si="21"/>
        <v>0</v>
      </c>
      <c r="AH67" s="263"/>
      <c r="AI67" s="264">
        <f t="shared" si="22"/>
        <v>0</v>
      </c>
      <c r="AJ67" s="263"/>
      <c r="AK67" s="264">
        <f t="shared" si="23"/>
        <v>0</v>
      </c>
      <c r="AL67" s="263"/>
      <c r="AM67" s="264">
        <f t="shared" si="24"/>
        <v>0</v>
      </c>
      <c r="AN67" s="267">
        <f t="shared" si="25"/>
        <v>0</v>
      </c>
      <c r="AO67" s="268"/>
      <c r="AP67" s="158"/>
    </row>
    <row r="68" spans="1:42" thickBot="1">
      <c r="A68" s="106"/>
      <c r="B68" s="157"/>
      <c r="C68" s="157"/>
      <c r="D68" s="104"/>
      <c r="E68" s="105"/>
      <c r="F68" s="105"/>
      <c r="G68" s="105"/>
      <c r="H68" s="103"/>
      <c r="I68" s="157"/>
      <c r="J68" s="103"/>
      <c r="K68" s="103"/>
      <c r="L68" s="105"/>
      <c r="M68" s="105"/>
      <c r="N68" s="107"/>
      <c r="O68" s="105"/>
      <c r="P68" s="263"/>
      <c r="Q68" s="264">
        <f t="shared" si="13"/>
        <v>0</v>
      </c>
      <c r="R68" s="263"/>
      <c r="S68" s="264">
        <f t="shared" si="14"/>
        <v>0</v>
      </c>
      <c r="T68" s="263"/>
      <c r="U68" s="264">
        <f t="shared" si="15"/>
        <v>0</v>
      </c>
      <c r="V68" s="263"/>
      <c r="W68" s="264">
        <f t="shared" si="16"/>
        <v>0</v>
      </c>
      <c r="X68" s="263"/>
      <c r="Y68" s="264">
        <f t="shared" si="17"/>
        <v>0</v>
      </c>
      <c r="Z68" s="263"/>
      <c r="AA68" s="264">
        <f t="shared" si="18"/>
        <v>0</v>
      </c>
      <c r="AB68" s="263"/>
      <c r="AC68" s="264">
        <f t="shared" si="19"/>
        <v>0</v>
      </c>
      <c r="AD68" s="263"/>
      <c r="AE68" s="264">
        <f t="shared" si="20"/>
        <v>0</v>
      </c>
      <c r="AF68" s="263"/>
      <c r="AG68" s="264">
        <f t="shared" si="21"/>
        <v>0</v>
      </c>
      <c r="AH68" s="263"/>
      <c r="AI68" s="264">
        <f t="shared" si="22"/>
        <v>0</v>
      </c>
      <c r="AJ68" s="263"/>
      <c r="AK68" s="264">
        <f t="shared" si="23"/>
        <v>0</v>
      </c>
      <c r="AL68" s="263"/>
      <c r="AM68" s="264">
        <f t="shared" si="24"/>
        <v>0</v>
      </c>
      <c r="AN68" s="267">
        <f t="shared" si="25"/>
        <v>0</v>
      </c>
      <c r="AO68" s="268"/>
      <c r="AP68" s="158"/>
    </row>
    <row r="69" spans="1:42" thickBot="1">
      <c r="A69" s="106"/>
      <c r="B69" s="157"/>
      <c r="C69" s="157"/>
      <c r="D69" s="104"/>
      <c r="E69" s="105"/>
      <c r="F69" s="105"/>
      <c r="G69" s="105"/>
      <c r="H69" s="103"/>
      <c r="I69" s="157"/>
      <c r="J69" s="103"/>
      <c r="K69" s="103"/>
      <c r="L69" s="105"/>
      <c r="M69" s="105"/>
      <c r="N69" s="107"/>
      <c r="O69" s="105"/>
      <c r="P69" s="263"/>
      <c r="Q69" s="264">
        <f t="shared" si="13"/>
        <v>0</v>
      </c>
      <c r="R69" s="263"/>
      <c r="S69" s="264">
        <f t="shared" si="14"/>
        <v>0</v>
      </c>
      <c r="T69" s="263"/>
      <c r="U69" s="264">
        <f t="shared" si="15"/>
        <v>0</v>
      </c>
      <c r="V69" s="263"/>
      <c r="W69" s="264">
        <f t="shared" si="16"/>
        <v>0</v>
      </c>
      <c r="X69" s="263"/>
      <c r="Y69" s="264">
        <f t="shared" si="17"/>
        <v>0</v>
      </c>
      <c r="Z69" s="263"/>
      <c r="AA69" s="264">
        <f t="shared" si="18"/>
        <v>0</v>
      </c>
      <c r="AB69" s="263"/>
      <c r="AC69" s="264">
        <f t="shared" si="19"/>
        <v>0</v>
      </c>
      <c r="AD69" s="263"/>
      <c r="AE69" s="264">
        <f t="shared" si="20"/>
        <v>0</v>
      </c>
      <c r="AF69" s="263"/>
      <c r="AG69" s="264">
        <f t="shared" si="21"/>
        <v>0</v>
      </c>
      <c r="AH69" s="263"/>
      <c r="AI69" s="264">
        <f t="shared" si="22"/>
        <v>0</v>
      </c>
      <c r="AJ69" s="263"/>
      <c r="AK69" s="264">
        <f t="shared" si="23"/>
        <v>0</v>
      </c>
      <c r="AL69" s="263"/>
      <c r="AM69" s="264">
        <f t="shared" si="24"/>
        <v>0</v>
      </c>
      <c r="AN69" s="267">
        <f t="shared" si="25"/>
        <v>0</v>
      </c>
      <c r="AO69" s="268"/>
      <c r="AP69" s="158"/>
    </row>
    <row r="70" spans="1:42" thickBot="1">
      <c r="A70" s="106"/>
      <c r="B70" s="157"/>
      <c r="C70" s="157"/>
      <c r="D70" s="104"/>
      <c r="E70" s="105"/>
      <c r="F70" s="105"/>
      <c r="G70" s="105"/>
      <c r="H70" s="103"/>
      <c r="I70" s="157"/>
      <c r="J70" s="103"/>
      <c r="K70" s="103"/>
      <c r="L70" s="105"/>
      <c r="M70" s="105"/>
      <c r="N70" s="107"/>
      <c r="O70" s="105"/>
      <c r="P70" s="263"/>
      <c r="Q70" s="264">
        <f t="shared" si="13"/>
        <v>0</v>
      </c>
      <c r="R70" s="263"/>
      <c r="S70" s="264">
        <f t="shared" si="14"/>
        <v>0</v>
      </c>
      <c r="T70" s="263"/>
      <c r="U70" s="264">
        <f t="shared" si="15"/>
        <v>0</v>
      </c>
      <c r="V70" s="263"/>
      <c r="W70" s="264">
        <f t="shared" si="16"/>
        <v>0</v>
      </c>
      <c r="X70" s="263"/>
      <c r="Y70" s="264">
        <f t="shared" si="17"/>
        <v>0</v>
      </c>
      <c r="Z70" s="263"/>
      <c r="AA70" s="264">
        <f t="shared" si="18"/>
        <v>0</v>
      </c>
      <c r="AB70" s="263"/>
      <c r="AC70" s="264">
        <f t="shared" si="19"/>
        <v>0</v>
      </c>
      <c r="AD70" s="263"/>
      <c r="AE70" s="264">
        <f t="shared" si="20"/>
        <v>0</v>
      </c>
      <c r="AF70" s="263"/>
      <c r="AG70" s="264">
        <f t="shared" si="21"/>
        <v>0</v>
      </c>
      <c r="AH70" s="263"/>
      <c r="AI70" s="264">
        <f t="shared" si="22"/>
        <v>0</v>
      </c>
      <c r="AJ70" s="263"/>
      <c r="AK70" s="264">
        <f t="shared" si="23"/>
        <v>0</v>
      </c>
      <c r="AL70" s="263"/>
      <c r="AM70" s="264">
        <f t="shared" si="24"/>
        <v>0</v>
      </c>
      <c r="AN70" s="267">
        <f t="shared" si="25"/>
        <v>0</v>
      </c>
      <c r="AO70" s="268"/>
      <c r="AP70" s="158"/>
    </row>
    <row r="71" spans="1:42" thickBot="1">
      <c r="A71" s="106"/>
      <c r="B71" s="157"/>
      <c r="C71" s="157"/>
      <c r="D71" s="104"/>
      <c r="E71" s="105"/>
      <c r="F71" s="105"/>
      <c r="G71" s="105"/>
      <c r="H71" s="103"/>
      <c r="I71" s="157"/>
      <c r="J71" s="103"/>
      <c r="K71" s="103"/>
      <c r="L71" s="105"/>
      <c r="M71" s="105"/>
      <c r="N71" s="107"/>
      <c r="O71" s="105"/>
      <c r="P71" s="263"/>
      <c r="Q71" s="264">
        <f t="shared" si="13"/>
        <v>0</v>
      </c>
      <c r="R71" s="263"/>
      <c r="S71" s="264">
        <f t="shared" si="14"/>
        <v>0</v>
      </c>
      <c r="T71" s="263"/>
      <c r="U71" s="264">
        <f t="shared" si="15"/>
        <v>0</v>
      </c>
      <c r="V71" s="263"/>
      <c r="W71" s="264">
        <f t="shared" si="16"/>
        <v>0</v>
      </c>
      <c r="X71" s="263"/>
      <c r="Y71" s="264">
        <f t="shared" si="17"/>
        <v>0</v>
      </c>
      <c r="Z71" s="263"/>
      <c r="AA71" s="264">
        <f t="shared" si="18"/>
        <v>0</v>
      </c>
      <c r="AB71" s="263"/>
      <c r="AC71" s="264">
        <f t="shared" si="19"/>
        <v>0</v>
      </c>
      <c r="AD71" s="263"/>
      <c r="AE71" s="264">
        <f t="shared" si="20"/>
        <v>0</v>
      </c>
      <c r="AF71" s="263"/>
      <c r="AG71" s="264">
        <f t="shared" si="21"/>
        <v>0</v>
      </c>
      <c r="AH71" s="263"/>
      <c r="AI71" s="264">
        <f t="shared" si="22"/>
        <v>0</v>
      </c>
      <c r="AJ71" s="263"/>
      <c r="AK71" s="264">
        <f t="shared" si="23"/>
        <v>0</v>
      </c>
      <c r="AL71" s="263"/>
      <c r="AM71" s="264">
        <f t="shared" si="24"/>
        <v>0</v>
      </c>
      <c r="AN71" s="267">
        <f t="shared" si="25"/>
        <v>0</v>
      </c>
      <c r="AO71" s="268"/>
      <c r="AP71" s="158"/>
    </row>
    <row r="72" spans="1:42" thickBot="1">
      <c r="A72" s="106"/>
      <c r="B72" s="157"/>
      <c r="C72" s="157"/>
      <c r="D72" s="104"/>
      <c r="E72" s="105"/>
      <c r="F72" s="105"/>
      <c r="G72" s="105"/>
      <c r="H72" s="103"/>
      <c r="I72" s="157"/>
      <c r="J72" s="103"/>
      <c r="K72" s="103"/>
      <c r="L72" s="105"/>
      <c r="M72" s="105"/>
      <c r="N72" s="107"/>
      <c r="O72" s="105"/>
      <c r="P72" s="263"/>
      <c r="Q72" s="264">
        <f t="shared" si="13"/>
        <v>0</v>
      </c>
      <c r="R72" s="263"/>
      <c r="S72" s="264">
        <f t="shared" si="14"/>
        <v>0</v>
      </c>
      <c r="T72" s="263"/>
      <c r="U72" s="264">
        <f t="shared" si="15"/>
        <v>0</v>
      </c>
      <c r="V72" s="263"/>
      <c r="W72" s="264">
        <f t="shared" si="16"/>
        <v>0</v>
      </c>
      <c r="X72" s="263"/>
      <c r="Y72" s="264">
        <f t="shared" si="17"/>
        <v>0</v>
      </c>
      <c r="Z72" s="263"/>
      <c r="AA72" s="264">
        <f t="shared" si="18"/>
        <v>0</v>
      </c>
      <c r="AB72" s="263"/>
      <c r="AC72" s="264">
        <f t="shared" si="19"/>
        <v>0</v>
      </c>
      <c r="AD72" s="263"/>
      <c r="AE72" s="264">
        <f t="shared" si="20"/>
        <v>0</v>
      </c>
      <c r="AF72" s="263"/>
      <c r="AG72" s="264">
        <f t="shared" si="21"/>
        <v>0</v>
      </c>
      <c r="AH72" s="263"/>
      <c r="AI72" s="264">
        <f t="shared" si="22"/>
        <v>0</v>
      </c>
      <c r="AJ72" s="263"/>
      <c r="AK72" s="264">
        <f t="shared" si="23"/>
        <v>0</v>
      </c>
      <c r="AL72" s="263"/>
      <c r="AM72" s="264">
        <f t="shared" si="24"/>
        <v>0</v>
      </c>
      <c r="AN72" s="267">
        <f t="shared" si="25"/>
        <v>0</v>
      </c>
      <c r="AO72" s="268"/>
      <c r="AP72" s="158"/>
    </row>
    <row r="73" spans="1:42" thickBot="1">
      <c r="A73" s="106"/>
      <c r="B73" s="157"/>
      <c r="C73" s="157"/>
      <c r="D73" s="104"/>
      <c r="E73" s="105"/>
      <c r="F73" s="105"/>
      <c r="G73" s="105"/>
      <c r="H73" s="103"/>
      <c r="I73" s="157"/>
      <c r="J73" s="103"/>
      <c r="K73" s="103"/>
      <c r="L73" s="105"/>
      <c r="M73" s="105"/>
      <c r="N73" s="107"/>
      <c r="O73" s="105"/>
      <c r="P73" s="263"/>
      <c r="Q73" s="264">
        <f t="shared" si="13"/>
        <v>0</v>
      </c>
      <c r="R73" s="263"/>
      <c r="S73" s="264">
        <f t="shared" si="14"/>
        <v>0</v>
      </c>
      <c r="T73" s="263"/>
      <c r="U73" s="264">
        <f t="shared" si="15"/>
        <v>0</v>
      </c>
      <c r="V73" s="263"/>
      <c r="W73" s="264">
        <f t="shared" si="16"/>
        <v>0</v>
      </c>
      <c r="X73" s="263"/>
      <c r="Y73" s="264">
        <f t="shared" si="17"/>
        <v>0</v>
      </c>
      <c r="Z73" s="263"/>
      <c r="AA73" s="264">
        <f t="shared" si="18"/>
        <v>0</v>
      </c>
      <c r="AB73" s="263"/>
      <c r="AC73" s="264">
        <f t="shared" si="19"/>
        <v>0</v>
      </c>
      <c r="AD73" s="263"/>
      <c r="AE73" s="264">
        <f t="shared" si="20"/>
        <v>0</v>
      </c>
      <c r="AF73" s="263"/>
      <c r="AG73" s="264">
        <f t="shared" si="21"/>
        <v>0</v>
      </c>
      <c r="AH73" s="263"/>
      <c r="AI73" s="264">
        <f t="shared" si="22"/>
        <v>0</v>
      </c>
      <c r="AJ73" s="263"/>
      <c r="AK73" s="264">
        <f t="shared" si="23"/>
        <v>0</v>
      </c>
      <c r="AL73" s="263"/>
      <c r="AM73" s="264">
        <f t="shared" si="24"/>
        <v>0</v>
      </c>
      <c r="AN73" s="267">
        <f t="shared" si="25"/>
        <v>0</v>
      </c>
      <c r="AO73" s="268"/>
      <c r="AP73" s="158"/>
    </row>
    <row r="74" spans="1:42" thickBot="1">
      <c r="A74" s="106"/>
      <c r="B74" s="157"/>
      <c r="C74" s="157"/>
      <c r="D74" s="104"/>
      <c r="E74" s="105"/>
      <c r="F74" s="105"/>
      <c r="G74" s="105"/>
      <c r="H74" s="103"/>
      <c r="I74" s="157"/>
      <c r="J74" s="103"/>
      <c r="K74" s="103"/>
      <c r="L74" s="105"/>
      <c r="M74" s="105"/>
      <c r="N74" s="107"/>
      <c r="O74" s="105"/>
      <c r="P74" s="263"/>
      <c r="Q74" s="264">
        <f t="shared" si="13"/>
        <v>0</v>
      </c>
      <c r="R74" s="263"/>
      <c r="S74" s="264">
        <f t="shared" si="14"/>
        <v>0</v>
      </c>
      <c r="T74" s="263"/>
      <c r="U74" s="264">
        <f t="shared" si="15"/>
        <v>0</v>
      </c>
      <c r="V74" s="263"/>
      <c r="W74" s="264">
        <f t="shared" si="16"/>
        <v>0</v>
      </c>
      <c r="X74" s="263"/>
      <c r="Y74" s="264">
        <f t="shared" si="17"/>
        <v>0</v>
      </c>
      <c r="Z74" s="263"/>
      <c r="AA74" s="264">
        <f t="shared" si="18"/>
        <v>0</v>
      </c>
      <c r="AB74" s="263"/>
      <c r="AC74" s="264">
        <f t="shared" si="19"/>
        <v>0</v>
      </c>
      <c r="AD74" s="263"/>
      <c r="AE74" s="264">
        <f t="shared" si="20"/>
        <v>0</v>
      </c>
      <c r="AF74" s="263"/>
      <c r="AG74" s="264">
        <f t="shared" si="21"/>
        <v>0</v>
      </c>
      <c r="AH74" s="263"/>
      <c r="AI74" s="264">
        <f t="shared" si="22"/>
        <v>0</v>
      </c>
      <c r="AJ74" s="263"/>
      <c r="AK74" s="264">
        <f t="shared" si="23"/>
        <v>0</v>
      </c>
      <c r="AL74" s="263"/>
      <c r="AM74" s="264">
        <f t="shared" si="24"/>
        <v>0</v>
      </c>
      <c r="AN74" s="267">
        <f t="shared" si="25"/>
        <v>0</v>
      </c>
      <c r="AO74" s="268"/>
      <c r="AP74" s="158"/>
    </row>
    <row r="75" spans="1:42" thickBot="1">
      <c r="A75" s="106"/>
      <c r="B75" s="157"/>
      <c r="C75" s="157"/>
      <c r="D75" s="104"/>
      <c r="E75" s="105"/>
      <c r="F75" s="105"/>
      <c r="G75" s="105"/>
      <c r="H75" s="103"/>
      <c r="I75" s="157"/>
      <c r="J75" s="103"/>
      <c r="K75" s="103"/>
      <c r="L75" s="105"/>
      <c r="M75" s="105"/>
      <c r="N75" s="107"/>
      <c r="O75" s="105"/>
      <c r="P75" s="263"/>
      <c r="Q75" s="264">
        <f t="shared" si="13"/>
        <v>0</v>
      </c>
      <c r="R75" s="263"/>
      <c r="S75" s="264">
        <f t="shared" si="14"/>
        <v>0</v>
      </c>
      <c r="T75" s="263"/>
      <c r="U75" s="264">
        <f t="shared" si="15"/>
        <v>0</v>
      </c>
      <c r="V75" s="263"/>
      <c r="W75" s="264">
        <f t="shared" si="16"/>
        <v>0</v>
      </c>
      <c r="X75" s="263"/>
      <c r="Y75" s="264">
        <f t="shared" si="17"/>
        <v>0</v>
      </c>
      <c r="Z75" s="263"/>
      <c r="AA75" s="264">
        <f t="shared" si="18"/>
        <v>0</v>
      </c>
      <c r="AB75" s="263"/>
      <c r="AC75" s="264">
        <f t="shared" si="19"/>
        <v>0</v>
      </c>
      <c r="AD75" s="263"/>
      <c r="AE75" s="264">
        <f t="shared" si="20"/>
        <v>0</v>
      </c>
      <c r="AF75" s="263"/>
      <c r="AG75" s="264">
        <f t="shared" si="21"/>
        <v>0</v>
      </c>
      <c r="AH75" s="263"/>
      <c r="AI75" s="264">
        <f t="shared" si="22"/>
        <v>0</v>
      </c>
      <c r="AJ75" s="263"/>
      <c r="AK75" s="264">
        <f t="shared" si="23"/>
        <v>0</v>
      </c>
      <c r="AL75" s="263"/>
      <c r="AM75" s="264">
        <f t="shared" si="24"/>
        <v>0</v>
      </c>
      <c r="AN75" s="267">
        <f t="shared" si="25"/>
        <v>0</v>
      </c>
      <c r="AO75" s="268"/>
      <c r="AP75" s="158"/>
    </row>
    <row r="76" spans="1:42" thickBot="1">
      <c r="A76" s="106"/>
      <c r="B76" s="157"/>
      <c r="C76" s="157"/>
      <c r="D76" s="104"/>
      <c r="E76" s="105"/>
      <c r="F76" s="105"/>
      <c r="G76" s="105"/>
      <c r="H76" s="103"/>
      <c r="I76" s="157"/>
      <c r="J76" s="103"/>
      <c r="K76" s="103"/>
      <c r="L76" s="105"/>
      <c r="M76" s="105"/>
      <c r="N76" s="107"/>
      <c r="O76" s="105"/>
      <c r="P76" s="263"/>
      <c r="Q76" s="264">
        <f t="shared" si="13"/>
        <v>0</v>
      </c>
      <c r="R76" s="263"/>
      <c r="S76" s="264">
        <f t="shared" si="14"/>
        <v>0</v>
      </c>
      <c r="T76" s="263"/>
      <c r="U76" s="264">
        <f t="shared" si="15"/>
        <v>0</v>
      </c>
      <c r="V76" s="263"/>
      <c r="W76" s="264">
        <f t="shared" si="16"/>
        <v>0</v>
      </c>
      <c r="X76" s="263"/>
      <c r="Y76" s="264">
        <f t="shared" si="17"/>
        <v>0</v>
      </c>
      <c r="Z76" s="263"/>
      <c r="AA76" s="264">
        <f t="shared" si="18"/>
        <v>0</v>
      </c>
      <c r="AB76" s="263"/>
      <c r="AC76" s="264">
        <f t="shared" si="19"/>
        <v>0</v>
      </c>
      <c r="AD76" s="263"/>
      <c r="AE76" s="264">
        <f t="shared" si="20"/>
        <v>0</v>
      </c>
      <c r="AF76" s="263"/>
      <c r="AG76" s="264">
        <f t="shared" si="21"/>
        <v>0</v>
      </c>
      <c r="AH76" s="263"/>
      <c r="AI76" s="264">
        <f t="shared" si="22"/>
        <v>0</v>
      </c>
      <c r="AJ76" s="263"/>
      <c r="AK76" s="264">
        <f t="shared" si="23"/>
        <v>0</v>
      </c>
      <c r="AL76" s="263"/>
      <c r="AM76" s="264">
        <f t="shared" si="24"/>
        <v>0</v>
      </c>
      <c r="AN76" s="267">
        <f t="shared" si="25"/>
        <v>0</v>
      </c>
      <c r="AO76" s="268"/>
      <c r="AP76" s="158"/>
    </row>
    <row r="77" spans="1:42" thickBot="1">
      <c r="A77" s="106"/>
      <c r="B77" s="157"/>
      <c r="C77" s="157"/>
      <c r="D77" s="104"/>
      <c r="E77" s="105"/>
      <c r="F77" s="105"/>
      <c r="G77" s="105"/>
      <c r="H77" s="103"/>
      <c r="I77" s="157"/>
      <c r="J77" s="103"/>
      <c r="K77" s="103"/>
      <c r="L77" s="105"/>
      <c r="M77" s="105"/>
      <c r="N77" s="107"/>
      <c r="O77" s="105"/>
      <c r="P77" s="263"/>
      <c r="Q77" s="264">
        <f t="shared" si="13"/>
        <v>0</v>
      </c>
      <c r="R77" s="263"/>
      <c r="S77" s="264">
        <f t="shared" si="14"/>
        <v>0</v>
      </c>
      <c r="T77" s="263"/>
      <c r="U77" s="264">
        <f t="shared" si="15"/>
        <v>0</v>
      </c>
      <c r="V77" s="263"/>
      <c r="W77" s="264">
        <f t="shared" si="16"/>
        <v>0</v>
      </c>
      <c r="X77" s="263"/>
      <c r="Y77" s="264">
        <f t="shared" si="17"/>
        <v>0</v>
      </c>
      <c r="Z77" s="263"/>
      <c r="AA77" s="264">
        <f t="shared" si="18"/>
        <v>0</v>
      </c>
      <c r="AB77" s="263"/>
      <c r="AC77" s="264">
        <f t="shared" si="19"/>
        <v>0</v>
      </c>
      <c r="AD77" s="263"/>
      <c r="AE77" s="264">
        <f t="shared" si="20"/>
        <v>0</v>
      </c>
      <c r="AF77" s="263"/>
      <c r="AG77" s="264">
        <f t="shared" si="21"/>
        <v>0</v>
      </c>
      <c r="AH77" s="263"/>
      <c r="AI77" s="264">
        <f t="shared" si="22"/>
        <v>0</v>
      </c>
      <c r="AJ77" s="263"/>
      <c r="AK77" s="264">
        <f t="shared" si="23"/>
        <v>0</v>
      </c>
      <c r="AL77" s="263"/>
      <c r="AM77" s="264">
        <f t="shared" si="24"/>
        <v>0</v>
      </c>
      <c r="AN77" s="267">
        <f t="shared" si="25"/>
        <v>0</v>
      </c>
      <c r="AO77" s="268"/>
      <c r="AP77" s="158"/>
    </row>
    <row r="78" spans="1:42" thickBot="1">
      <c r="A78" s="106"/>
      <c r="B78" s="157"/>
      <c r="C78" s="157"/>
      <c r="D78" s="104"/>
      <c r="E78" s="105"/>
      <c r="F78" s="105"/>
      <c r="G78" s="105"/>
      <c r="H78" s="103"/>
      <c r="I78" s="157"/>
      <c r="J78" s="103"/>
      <c r="K78" s="103"/>
      <c r="L78" s="105"/>
      <c r="M78" s="105"/>
      <c r="N78" s="107"/>
      <c r="O78" s="105"/>
      <c r="P78" s="263"/>
      <c r="Q78" s="264">
        <f t="shared" ref="Q78:Q141" si="26">A78*P78</f>
        <v>0</v>
      </c>
      <c r="R78" s="263"/>
      <c r="S78" s="264">
        <f t="shared" ref="S78:S141" si="27">R78*A78</f>
        <v>0</v>
      </c>
      <c r="T78" s="263"/>
      <c r="U78" s="264">
        <f t="shared" ref="U78:U141" si="28">A78*T78</f>
        <v>0</v>
      </c>
      <c r="V78" s="263"/>
      <c r="W78" s="264">
        <f t="shared" ref="W78:W141" si="29">$A78*V78</f>
        <v>0</v>
      </c>
      <c r="X78" s="263"/>
      <c r="Y78" s="264">
        <f t="shared" ref="Y78:Y141" si="30">$A78*X78</f>
        <v>0</v>
      </c>
      <c r="Z78" s="263"/>
      <c r="AA78" s="264">
        <f t="shared" ref="AA78:AA141" si="31">$A78*Z78</f>
        <v>0</v>
      </c>
      <c r="AB78" s="263"/>
      <c r="AC78" s="264">
        <f t="shared" ref="AC78:AC141" si="32">$A78*AB78</f>
        <v>0</v>
      </c>
      <c r="AD78" s="263"/>
      <c r="AE78" s="264">
        <f t="shared" ref="AE78:AE141" si="33">$A78*AD78</f>
        <v>0</v>
      </c>
      <c r="AF78" s="263"/>
      <c r="AG78" s="264">
        <f t="shared" ref="AG78:AG141" si="34">$A78*AF78</f>
        <v>0</v>
      </c>
      <c r="AH78" s="263"/>
      <c r="AI78" s="264">
        <f t="shared" ref="AI78:AI141" si="35">$A78*AH78</f>
        <v>0</v>
      </c>
      <c r="AJ78" s="263"/>
      <c r="AK78" s="264">
        <f t="shared" ref="AK78:AK141" si="36">$A78*AJ78</f>
        <v>0</v>
      </c>
      <c r="AL78" s="263"/>
      <c r="AM78" s="264">
        <f t="shared" ref="AM78:AM141" si="37">$A78*AL78</f>
        <v>0</v>
      </c>
      <c r="AN78" s="267">
        <f t="shared" ref="AN78:AN141" si="38">SUM(Q78+S78+U78+W78+Y78+AA78+AC78+AE78+AG78+AI78+AK78+AM78)</f>
        <v>0</v>
      </c>
      <c r="AO78" s="268"/>
      <c r="AP78" s="158"/>
    </row>
    <row r="79" spans="1:42" thickBot="1">
      <c r="A79" s="106"/>
      <c r="B79" s="157"/>
      <c r="C79" s="157"/>
      <c r="D79" s="104"/>
      <c r="E79" s="105"/>
      <c r="F79" s="105"/>
      <c r="G79" s="105"/>
      <c r="H79" s="103"/>
      <c r="I79" s="157"/>
      <c r="J79" s="103"/>
      <c r="K79" s="103"/>
      <c r="L79" s="105"/>
      <c r="M79" s="105"/>
      <c r="N79" s="107"/>
      <c r="O79" s="105"/>
      <c r="P79" s="263"/>
      <c r="Q79" s="264">
        <f t="shared" si="26"/>
        <v>0</v>
      </c>
      <c r="R79" s="263"/>
      <c r="S79" s="264">
        <f t="shared" si="27"/>
        <v>0</v>
      </c>
      <c r="T79" s="263"/>
      <c r="U79" s="264">
        <f t="shared" si="28"/>
        <v>0</v>
      </c>
      <c r="V79" s="263"/>
      <c r="W79" s="264">
        <f t="shared" si="29"/>
        <v>0</v>
      </c>
      <c r="X79" s="263"/>
      <c r="Y79" s="264">
        <f t="shared" si="30"/>
        <v>0</v>
      </c>
      <c r="Z79" s="263"/>
      <c r="AA79" s="264">
        <f t="shared" si="31"/>
        <v>0</v>
      </c>
      <c r="AB79" s="263"/>
      <c r="AC79" s="264">
        <f t="shared" si="32"/>
        <v>0</v>
      </c>
      <c r="AD79" s="263"/>
      <c r="AE79" s="264">
        <f t="shared" si="33"/>
        <v>0</v>
      </c>
      <c r="AF79" s="263"/>
      <c r="AG79" s="264">
        <f t="shared" si="34"/>
        <v>0</v>
      </c>
      <c r="AH79" s="263"/>
      <c r="AI79" s="264">
        <f t="shared" si="35"/>
        <v>0</v>
      </c>
      <c r="AJ79" s="263"/>
      <c r="AK79" s="264">
        <f t="shared" si="36"/>
        <v>0</v>
      </c>
      <c r="AL79" s="263"/>
      <c r="AM79" s="264">
        <f t="shared" si="37"/>
        <v>0</v>
      </c>
      <c r="AN79" s="267">
        <f t="shared" si="38"/>
        <v>0</v>
      </c>
      <c r="AO79" s="268"/>
      <c r="AP79" s="158"/>
    </row>
    <row r="80" spans="1:42" thickBot="1">
      <c r="A80" s="106"/>
      <c r="B80" s="157"/>
      <c r="C80" s="157"/>
      <c r="D80" s="104"/>
      <c r="E80" s="105"/>
      <c r="F80" s="105"/>
      <c r="G80" s="105"/>
      <c r="H80" s="103"/>
      <c r="I80" s="157"/>
      <c r="J80" s="103"/>
      <c r="K80" s="103"/>
      <c r="L80" s="105"/>
      <c r="M80" s="105"/>
      <c r="N80" s="107"/>
      <c r="O80" s="105"/>
      <c r="P80" s="263"/>
      <c r="Q80" s="264">
        <f t="shared" si="26"/>
        <v>0</v>
      </c>
      <c r="R80" s="263"/>
      <c r="S80" s="264">
        <f t="shared" si="27"/>
        <v>0</v>
      </c>
      <c r="T80" s="263"/>
      <c r="U80" s="264">
        <f t="shared" si="28"/>
        <v>0</v>
      </c>
      <c r="V80" s="263"/>
      <c r="W80" s="264">
        <f t="shared" si="29"/>
        <v>0</v>
      </c>
      <c r="X80" s="263"/>
      <c r="Y80" s="264">
        <f t="shared" si="30"/>
        <v>0</v>
      </c>
      <c r="Z80" s="263"/>
      <c r="AA80" s="264">
        <f t="shared" si="31"/>
        <v>0</v>
      </c>
      <c r="AB80" s="263"/>
      <c r="AC80" s="264">
        <f t="shared" si="32"/>
        <v>0</v>
      </c>
      <c r="AD80" s="263"/>
      <c r="AE80" s="264">
        <f t="shared" si="33"/>
        <v>0</v>
      </c>
      <c r="AF80" s="263"/>
      <c r="AG80" s="264">
        <f t="shared" si="34"/>
        <v>0</v>
      </c>
      <c r="AH80" s="263"/>
      <c r="AI80" s="264">
        <f t="shared" si="35"/>
        <v>0</v>
      </c>
      <c r="AJ80" s="263"/>
      <c r="AK80" s="264">
        <f t="shared" si="36"/>
        <v>0</v>
      </c>
      <c r="AL80" s="263"/>
      <c r="AM80" s="264">
        <f t="shared" si="37"/>
        <v>0</v>
      </c>
      <c r="AN80" s="267">
        <f t="shared" si="38"/>
        <v>0</v>
      </c>
      <c r="AO80" s="268"/>
      <c r="AP80" s="158"/>
    </row>
    <row r="81" spans="1:42" thickBot="1">
      <c r="A81" s="106"/>
      <c r="B81" s="157"/>
      <c r="C81" s="157"/>
      <c r="D81" s="104"/>
      <c r="E81" s="105"/>
      <c r="F81" s="105"/>
      <c r="G81" s="105"/>
      <c r="H81" s="103"/>
      <c r="I81" s="157"/>
      <c r="J81" s="103"/>
      <c r="K81" s="103"/>
      <c r="L81" s="105"/>
      <c r="M81" s="105"/>
      <c r="N81" s="107"/>
      <c r="O81" s="105"/>
      <c r="P81" s="263"/>
      <c r="Q81" s="264">
        <f t="shared" si="26"/>
        <v>0</v>
      </c>
      <c r="R81" s="263"/>
      <c r="S81" s="264">
        <f t="shared" si="27"/>
        <v>0</v>
      </c>
      <c r="T81" s="263"/>
      <c r="U81" s="264">
        <f t="shared" si="28"/>
        <v>0</v>
      </c>
      <c r="V81" s="263"/>
      <c r="W81" s="264">
        <f t="shared" si="29"/>
        <v>0</v>
      </c>
      <c r="X81" s="263"/>
      <c r="Y81" s="264">
        <f t="shared" si="30"/>
        <v>0</v>
      </c>
      <c r="Z81" s="263"/>
      <c r="AA81" s="264">
        <f t="shared" si="31"/>
        <v>0</v>
      </c>
      <c r="AB81" s="263"/>
      <c r="AC81" s="264">
        <f t="shared" si="32"/>
        <v>0</v>
      </c>
      <c r="AD81" s="263"/>
      <c r="AE81" s="264">
        <f t="shared" si="33"/>
        <v>0</v>
      </c>
      <c r="AF81" s="263"/>
      <c r="AG81" s="264">
        <f t="shared" si="34"/>
        <v>0</v>
      </c>
      <c r="AH81" s="263"/>
      <c r="AI81" s="264">
        <f t="shared" si="35"/>
        <v>0</v>
      </c>
      <c r="AJ81" s="263"/>
      <c r="AK81" s="264">
        <f t="shared" si="36"/>
        <v>0</v>
      </c>
      <c r="AL81" s="263"/>
      <c r="AM81" s="264">
        <f t="shared" si="37"/>
        <v>0</v>
      </c>
      <c r="AN81" s="267">
        <f t="shared" si="38"/>
        <v>0</v>
      </c>
      <c r="AO81" s="268"/>
      <c r="AP81" s="158"/>
    </row>
    <row r="82" spans="1:42" thickBot="1">
      <c r="A82" s="106"/>
      <c r="B82" s="157"/>
      <c r="C82" s="157"/>
      <c r="D82" s="104"/>
      <c r="E82" s="105"/>
      <c r="F82" s="105"/>
      <c r="G82" s="105"/>
      <c r="H82" s="103"/>
      <c r="I82" s="157"/>
      <c r="J82" s="103"/>
      <c r="K82" s="103"/>
      <c r="L82" s="105"/>
      <c r="M82" s="105"/>
      <c r="N82" s="107"/>
      <c r="O82" s="105"/>
      <c r="P82" s="263"/>
      <c r="Q82" s="264">
        <f t="shared" si="26"/>
        <v>0</v>
      </c>
      <c r="R82" s="263"/>
      <c r="S82" s="264">
        <f t="shared" si="27"/>
        <v>0</v>
      </c>
      <c r="T82" s="263"/>
      <c r="U82" s="264">
        <f t="shared" si="28"/>
        <v>0</v>
      </c>
      <c r="V82" s="263"/>
      <c r="W82" s="264">
        <f t="shared" si="29"/>
        <v>0</v>
      </c>
      <c r="X82" s="263"/>
      <c r="Y82" s="264">
        <f t="shared" si="30"/>
        <v>0</v>
      </c>
      <c r="Z82" s="263"/>
      <c r="AA82" s="264">
        <f t="shared" si="31"/>
        <v>0</v>
      </c>
      <c r="AB82" s="263"/>
      <c r="AC82" s="264">
        <f t="shared" si="32"/>
        <v>0</v>
      </c>
      <c r="AD82" s="263"/>
      <c r="AE82" s="264">
        <f t="shared" si="33"/>
        <v>0</v>
      </c>
      <c r="AF82" s="263"/>
      <c r="AG82" s="264">
        <f t="shared" si="34"/>
        <v>0</v>
      </c>
      <c r="AH82" s="263"/>
      <c r="AI82" s="264">
        <f t="shared" si="35"/>
        <v>0</v>
      </c>
      <c r="AJ82" s="263"/>
      <c r="AK82" s="264">
        <f t="shared" si="36"/>
        <v>0</v>
      </c>
      <c r="AL82" s="263"/>
      <c r="AM82" s="264">
        <f t="shared" si="37"/>
        <v>0</v>
      </c>
      <c r="AN82" s="267">
        <f t="shared" si="38"/>
        <v>0</v>
      </c>
      <c r="AO82" s="268"/>
      <c r="AP82" s="158"/>
    </row>
    <row r="83" spans="1:42" thickBot="1">
      <c r="A83" s="106"/>
      <c r="B83" s="157"/>
      <c r="C83" s="157"/>
      <c r="D83" s="104"/>
      <c r="E83" s="105"/>
      <c r="F83" s="105"/>
      <c r="G83" s="105"/>
      <c r="H83" s="103"/>
      <c r="I83" s="157"/>
      <c r="J83" s="103"/>
      <c r="K83" s="103"/>
      <c r="L83" s="105"/>
      <c r="M83" s="105"/>
      <c r="N83" s="107"/>
      <c r="O83" s="105"/>
      <c r="P83" s="263"/>
      <c r="Q83" s="264">
        <f t="shared" si="26"/>
        <v>0</v>
      </c>
      <c r="R83" s="263"/>
      <c r="S83" s="264">
        <f t="shared" si="27"/>
        <v>0</v>
      </c>
      <c r="T83" s="263"/>
      <c r="U83" s="264">
        <f t="shared" si="28"/>
        <v>0</v>
      </c>
      <c r="V83" s="263"/>
      <c r="W83" s="264">
        <f t="shared" si="29"/>
        <v>0</v>
      </c>
      <c r="X83" s="263"/>
      <c r="Y83" s="264">
        <f t="shared" si="30"/>
        <v>0</v>
      </c>
      <c r="Z83" s="263"/>
      <c r="AA83" s="264">
        <f t="shared" si="31"/>
        <v>0</v>
      </c>
      <c r="AB83" s="263"/>
      <c r="AC83" s="264">
        <f t="shared" si="32"/>
        <v>0</v>
      </c>
      <c r="AD83" s="263"/>
      <c r="AE83" s="264">
        <f t="shared" si="33"/>
        <v>0</v>
      </c>
      <c r="AF83" s="263"/>
      <c r="AG83" s="264">
        <f t="shared" si="34"/>
        <v>0</v>
      </c>
      <c r="AH83" s="263"/>
      <c r="AI83" s="264">
        <f t="shared" si="35"/>
        <v>0</v>
      </c>
      <c r="AJ83" s="263"/>
      <c r="AK83" s="264">
        <f t="shared" si="36"/>
        <v>0</v>
      </c>
      <c r="AL83" s="263"/>
      <c r="AM83" s="264">
        <f t="shared" si="37"/>
        <v>0</v>
      </c>
      <c r="AN83" s="267">
        <f t="shared" si="38"/>
        <v>0</v>
      </c>
      <c r="AO83" s="268"/>
      <c r="AP83" s="158"/>
    </row>
    <row r="84" spans="1:42" thickBot="1">
      <c r="A84" s="106"/>
      <c r="B84" s="157"/>
      <c r="C84" s="157"/>
      <c r="D84" s="104"/>
      <c r="E84" s="105"/>
      <c r="F84" s="105"/>
      <c r="G84" s="105"/>
      <c r="H84" s="103"/>
      <c r="I84" s="157"/>
      <c r="J84" s="103"/>
      <c r="K84" s="103"/>
      <c r="L84" s="105"/>
      <c r="M84" s="105"/>
      <c r="N84" s="107"/>
      <c r="O84" s="105"/>
      <c r="P84" s="263"/>
      <c r="Q84" s="264">
        <f t="shared" si="26"/>
        <v>0</v>
      </c>
      <c r="R84" s="263"/>
      <c r="S84" s="264">
        <f t="shared" si="27"/>
        <v>0</v>
      </c>
      <c r="T84" s="263"/>
      <c r="U84" s="264">
        <f t="shared" si="28"/>
        <v>0</v>
      </c>
      <c r="V84" s="263"/>
      <c r="W84" s="264">
        <f t="shared" si="29"/>
        <v>0</v>
      </c>
      <c r="X84" s="263"/>
      <c r="Y84" s="264">
        <f t="shared" si="30"/>
        <v>0</v>
      </c>
      <c r="Z84" s="263"/>
      <c r="AA84" s="264">
        <f t="shared" si="31"/>
        <v>0</v>
      </c>
      <c r="AB84" s="263"/>
      <c r="AC84" s="264">
        <f t="shared" si="32"/>
        <v>0</v>
      </c>
      <c r="AD84" s="263"/>
      <c r="AE84" s="264">
        <f t="shared" si="33"/>
        <v>0</v>
      </c>
      <c r="AF84" s="263"/>
      <c r="AG84" s="264">
        <f t="shared" si="34"/>
        <v>0</v>
      </c>
      <c r="AH84" s="263"/>
      <c r="AI84" s="264">
        <f t="shared" si="35"/>
        <v>0</v>
      </c>
      <c r="AJ84" s="263"/>
      <c r="AK84" s="264">
        <f t="shared" si="36"/>
        <v>0</v>
      </c>
      <c r="AL84" s="263"/>
      <c r="AM84" s="264">
        <f t="shared" si="37"/>
        <v>0</v>
      </c>
      <c r="AN84" s="267">
        <f t="shared" si="38"/>
        <v>0</v>
      </c>
      <c r="AO84" s="268"/>
      <c r="AP84" s="158"/>
    </row>
    <row r="85" spans="1:42" thickBot="1">
      <c r="A85" s="106"/>
      <c r="B85" s="157"/>
      <c r="C85" s="157"/>
      <c r="D85" s="104"/>
      <c r="E85" s="105"/>
      <c r="F85" s="105"/>
      <c r="G85" s="105"/>
      <c r="H85" s="103"/>
      <c r="I85" s="157"/>
      <c r="J85" s="103"/>
      <c r="K85" s="103"/>
      <c r="L85" s="105"/>
      <c r="M85" s="105"/>
      <c r="N85" s="107"/>
      <c r="O85" s="105"/>
      <c r="P85" s="263"/>
      <c r="Q85" s="264">
        <f t="shared" si="26"/>
        <v>0</v>
      </c>
      <c r="R85" s="263"/>
      <c r="S85" s="264">
        <f t="shared" si="27"/>
        <v>0</v>
      </c>
      <c r="T85" s="263"/>
      <c r="U85" s="264">
        <f t="shared" si="28"/>
        <v>0</v>
      </c>
      <c r="V85" s="263"/>
      <c r="W85" s="264">
        <f t="shared" si="29"/>
        <v>0</v>
      </c>
      <c r="X85" s="263"/>
      <c r="Y85" s="264">
        <f t="shared" si="30"/>
        <v>0</v>
      </c>
      <c r="Z85" s="263"/>
      <c r="AA85" s="264">
        <f t="shared" si="31"/>
        <v>0</v>
      </c>
      <c r="AB85" s="263"/>
      <c r="AC85" s="264">
        <f t="shared" si="32"/>
        <v>0</v>
      </c>
      <c r="AD85" s="263"/>
      <c r="AE85" s="264">
        <f t="shared" si="33"/>
        <v>0</v>
      </c>
      <c r="AF85" s="263"/>
      <c r="AG85" s="264">
        <f t="shared" si="34"/>
        <v>0</v>
      </c>
      <c r="AH85" s="263"/>
      <c r="AI85" s="264">
        <f t="shared" si="35"/>
        <v>0</v>
      </c>
      <c r="AJ85" s="263"/>
      <c r="AK85" s="264">
        <f t="shared" si="36"/>
        <v>0</v>
      </c>
      <c r="AL85" s="263"/>
      <c r="AM85" s="264">
        <f t="shared" si="37"/>
        <v>0</v>
      </c>
      <c r="AN85" s="267">
        <f t="shared" si="38"/>
        <v>0</v>
      </c>
      <c r="AO85" s="268"/>
      <c r="AP85" s="158"/>
    </row>
    <row r="86" spans="1:42" thickBot="1">
      <c r="A86" s="106"/>
      <c r="B86" s="157"/>
      <c r="C86" s="157"/>
      <c r="D86" s="104"/>
      <c r="E86" s="105"/>
      <c r="F86" s="105"/>
      <c r="G86" s="105"/>
      <c r="H86" s="103"/>
      <c r="I86" s="157"/>
      <c r="J86" s="103"/>
      <c r="K86" s="103"/>
      <c r="L86" s="105"/>
      <c r="M86" s="105"/>
      <c r="N86" s="107"/>
      <c r="O86" s="105"/>
      <c r="P86" s="263"/>
      <c r="Q86" s="264">
        <f t="shared" si="26"/>
        <v>0</v>
      </c>
      <c r="R86" s="263"/>
      <c r="S86" s="264">
        <f t="shared" si="27"/>
        <v>0</v>
      </c>
      <c r="T86" s="263"/>
      <c r="U86" s="264">
        <f t="shared" si="28"/>
        <v>0</v>
      </c>
      <c r="V86" s="263"/>
      <c r="W86" s="264">
        <f t="shared" si="29"/>
        <v>0</v>
      </c>
      <c r="X86" s="263"/>
      <c r="Y86" s="264">
        <f t="shared" si="30"/>
        <v>0</v>
      </c>
      <c r="Z86" s="263"/>
      <c r="AA86" s="264">
        <f t="shared" si="31"/>
        <v>0</v>
      </c>
      <c r="AB86" s="263"/>
      <c r="AC86" s="264">
        <f t="shared" si="32"/>
        <v>0</v>
      </c>
      <c r="AD86" s="263"/>
      <c r="AE86" s="264">
        <f t="shared" si="33"/>
        <v>0</v>
      </c>
      <c r="AF86" s="263"/>
      <c r="AG86" s="264">
        <f t="shared" si="34"/>
        <v>0</v>
      </c>
      <c r="AH86" s="263"/>
      <c r="AI86" s="264">
        <f t="shared" si="35"/>
        <v>0</v>
      </c>
      <c r="AJ86" s="263"/>
      <c r="AK86" s="264">
        <f t="shared" si="36"/>
        <v>0</v>
      </c>
      <c r="AL86" s="263"/>
      <c r="AM86" s="264">
        <f t="shared" si="37"/>
        <v>0</v>
      </c>
      <c r="AN86" s="267">
        <f t="shared" si="38"/>
        <v>0</v>
      </c>
      <c r="AO86" s="268"/>
      <c r="AP86" s="158"/>
    </row>
    <row r="87" spans="1:42" thickBot="1">
      <c r="A87" s="106"/>
      <c r="B87" s="157"/>
      <c r="C87" s="157"/>
      <c r="D87" s="104"/>
      <c r="E87" s="105"/>
      <c r="F87" s="105"/>
      <c r="G87" s="105"/>
      <c r="H87" s="103"/>
      <c r="I87" s="157"/>
      <c r="J87" s="103"/>
      <c r="K87" s="103"/>
      <c r="L87" s="105"/>
      <c r="M87" s="105"/>
      <c r="N87" s="107"/>
      <c r="O87" s="105"/>
      <c r="P87" s="263"/>
      <c r="Q87" s="264">
        <f t="shared" si="26"/>
        <v>0</v>
      </c>
      <c r="R87" s="263"/>
      <c r="S87" s="264">
        <f t="shared" si="27"/>
        <v>0</v>
      </c>
      <c r="T87" s="263"/>
      <c r="U87" s="264">
        <f t="shared" si="28"/>
        <v>0</v>
      </c>
      <c r="V87" s="263"/>
      <c r="W87" s="264">
        <f t="shared" si="29"/>
        <v>0</v>
      </c>
      <c r="X87" s="263"/>
      <c r="Y87" s="264">
        <f t="shared" si="30"/>
        <v>0</v>
      </c>
      <c r="Z87" s="263"/>
      <c r="AA87" s="264">
        <f t="shared" si="31"/>
        <v>0</v>
      </c>
      <c r="AB87" s="263"/>
      <c r="AC87" s="264">
        <f t="shared" si="32"/>
        <v>0</v>
      </c>
      <c r="AD87" s="263"/>
      <c r="AE87" s="264">
        <f t="shared" si="33"/>
        <v>0</v>
      </c>
      <c r="AF87" s="263"/>
      <c r="AG87" s="264">
        <f t="shared" si="34"/>
        <v>0</v>
      </c>
      <c r="AH87" s="263"/>
      <c r="AI87" s="264">
        <f t="shared" si="35"/>
        <v>0</v>
      </c>
      <c r="AJ87" s="263"/>
      <c r="AK87" s="264">
        <f t="shared" si="36"/>
        <v>0</v>
      </c>
      <c r="AL87" s="263"/>
      <c r="AM87" s="264">
        <f t="shared" si="37"/>
        <v>0</v>
      </c>
      <c r="AN87" s="267">
        <f t="shared" si="38"/>
        <v>0</v>
      </c>
      <c r="AO87" s="268"/>
      <c r="AP87" s="158"/>
    </row>
    <row r="88" spans="1:42" thickBot="1">
      <c r="A88" s="106"/>
      <c r="B88" s="157"/>
      <c r="C88" s="157"/>
      <c r="D88" s="104"/>
      <c r="E88" s="105"/>
      <c r="F88" s="105"/>
      <c r="G88" s="105"/>
      <c r="H88" s="103"/>
      <c r="I88" s="157"/>
      <c r="J88" s="103"/>
      <c r="K88" s="103"/>
      <c r="L88" s="105"/>
      <c r="M88" s="105"/>
      <c r="N88" s="107"/>
      <c r="O88" s="105"/>
      <c r="P88" s="263"/>
      <c r="Q88" s="264">
        <f t="shared" si="26"/>
        <v>0</v>
      </c>
      <c r="R88" s="263"/>
      <c r="S88" s="264">
        <f t="shared" si="27"/>
        <v>0</v>
      </c>
      <c r="T88" s="263"/>
      <c r="U88" s="264">
        <f t="shared" si="28"/>
        <v>0</v>
      </c>
      <c r="V88" s="263"/>
      <c r="W88" s="264">
        <f t="shared" si="29"/>
        <v>0</v>
      </c>
      <c r="X88" s="263"/>
      <c r="Y88" s="264">
        <f t="shared" si="30"/>
        <v>0</v>
      </c>
      <c r="Z88" s="263"/>
      <c r="AA88" s="264">
        <f t="shared" si="31"/>
        <v>0</v>
      </c>
      <c r="AB88" s="263"/>
      <c r="AC88" s="264">
        <f t="shared" si="32"/>
        <v>0</v>
      </c>
      <c r="AD88" s="263"/>
      <c r="AE88" s="264">
        <f t="shared" si="33"/>
        <v>0</v>
      </c>
      <c r="AF88" s="263"/>
      <c r="AG88" s="264">
        <f t="shared" si="34"/>
        <v>0</v>
      </c>
      <c r="AH88" s="263"/>
      <c r="AI88" s="264">
        <f t="shared" si="35"/>
        <v>0</v>
      </c>
      <c r="AJ88" s="263"/>
      <c r="AK88" s="264">
        <f t="shared" si="36"/>
        <v>0</v>
      </c>
      <c r="AL88" s="263"/>
      <c r="AM88" s="264">
        <f t="shared" si="37"/>
        <v>0</v>
      </c>
      <c r="AN88" s="267">
        <f t="shared" si="38"/>
        <v>0</v>
      </c>
      <c r="AO88" s="268"/>
      <c r="AP88" s="158"/>
    </row>
    <row r="89" spans="1:42" thickBot="1">
      <c r="A89" s="106"/>
      <c r="B89" s="157"/>
      <c r="C89" s="157"/>
      <c r="D89" s="104"/>
      <c r="E89" s="105"/>
      <c r="F89" s="105"/>
      <c r="G89" s="105"/>
      <c r="H89" s="103"/>
      <c r="I89" s="157"/>
      <c r="J89" s="103"/>
      <c r="K89" s="103"/>
      <c r="L89" s="105"/>
      <c r="M89" s="105"/>
      <c r="N89" s="107"/>
      <c r="O89" s="105"/>
      <c r="P89" s="263"/>
      <c r="Q89" s="264">
        <f t="shared" si="26"/>
        <v>0</v>
      </c>
      <c r="R89" s="263"/>
      <c r="S89" s="264">
        <f t="shared" si="27"/>
        <v>0</v>
      </c>
      <c r="T89" s="263"/>
      <c r="U89" s="264">
        <f t="shared" si="28"/>
        <v>0</v>
      </c>
      <c r="V89" s="263"/>
      <c r="W89" s="264">
        <f t="shared" si="29"/>
        <v>0</v>
      </c>
      <c r="X89" s="263"/>
      <c r="Y89" s="264">
        <f t="shared" si="30"/>
        <v>0</v>
      </c>
      <c r="Z89" s="263"/>
      <c r="AA89" s="264">
        <f t="shared" si="31"/>
        <v>0</v>
      </c>
      <c r="AB89" s="263"/>
      <c r="AC89" s="264">
        <f t="shared" si="32"/>
        <v>0</v>
      </c>
      <c r="AD89" s="263"/>
      <c r="AE89" s="264">
        <f t="shared" si="33"/>
        <v>0</v>
      </c>
      <c r="AF89" s="263"/>
      <c r="AG89" s="264">
        <f t="shared" si="34"/>
        <v>0</v>
      </c>
      <c r="AH89" s="263"/>
      <c r="AI89" s="264">
        <f t="shared" si="35"/>
        <v>0</v>
      </c>
      <c r="AJ89" s="263"/>
      <c r="AK89" s="264">
        <f t="shared" si="36"/>
        <v>0</v>
      </c>
      <c r="AL89" s="263"/>
      <c r="AM89" s="264">
        <f t="shared" si="37"/>
        <v>0</v>
      </c>
      <c r="AN89" s="267">
        <f t="shared" si="38"/>
        <v>0</v>
      </c>
      <c r="AO89" s="268"/>
      <c r="AP89" s="158"/>
    </row>
    <row r="90" spans="1:42" thickBot="1">
      <c r="A90" s="106"/>
      <c r="B90" s="157"/>
      <c r="C90" s="157"/>
      <c r="D90" s="104"/>
      <c r="E90" s="105"/>
      <c r="F90" s="105"/>
      <c r="G90" s="105"/>
      <c r="H90" s="103"/>
      <c r="I90" s="157"/>
      <c r="J90" s="103"/>
      <c r="K90" s="103"/>
      <c r="L90" s="105"/>
      <c r="M90" s="105"/>
      <c r="N90" s="107"/>
      <c r="O90" s="105"/>
      <c r="P90" s="263"/>
      <c r="Q90" s="264">
        <f t="shared" si="26"/>
        <v>0</v>
      </c>
      <c r="R90" s="263"/>
      <c r="S90" s="264">
        <f t="shared" si="27"/>
        <v>0</v>
      </c>
      <c r="T90" s="263"/>
      <c r="U90" s="264">
        <f t="shared" si="28"/>
        <v>0</v>
      </c>
      <c r="V90" s="263"/>
      <c r="W90" s="264">
        <f t="shared" si="29"/>
        <v>0</v>
      </c>
      <c r="X90" s="263"/>
      <c r="Y90" s="264">
        <f t="shared" si="30"/>
        <v>0</v>
      </c>
      <c r="Z90" s="263"/>
      <c r="AA90" s="264">
        <f t="shared" si="31"/>
        <v>0</v>
      </c>
      <c r="AB90" s="263"/>
      <c r="AC90" s="264">
        <f t="shared" si="32"/>
        <v>0</v>
      </c>
      <c r="AD90" s="263"/>
      <c r="AE90" s="264">
        <f t="shared" si="33"/>
        <v>0</v>
      </c>
      <c r="AF90" s="263"/>
      <c r="AG90" s="264">
        <f t="shared" si="34"/>
        <v>0</v>
      </c>
      <c r="AH90" s="263"/>
      <c r="AI90" s="264">
        <f t="shared" si="35"/>
        <v>0</v>
      </c>
      <c r="AJ90" s="263"/>
      <c r="AK90" s="264">
        <f t="shared" si="36"/>
        <v>0</v>
      </c>
      <c r="AL90" s="263"/>
      <c r="AM90" s="264">
        <f t="shared" si="37"/>
        <v>0</v>
      </c>
      <c r="AN90" s="267">
        <f t="shared" si="38"/>
        <v>0</v>
      </c>
      <c r="AO90" s="268"/>
      <c r="AP90" s="158"/>
    </row>
    <row r="91" spans="1:42" thickBot="1">
      <c r="A91" s="106"/>
      <c r="B91" s="157"/>
      <c r="C91" s="157"/>
      <c r="D91" s="104"/>
      <c r="E91" s="105"/>
      <c r="F91" s="105"/>
      <c r="G91" s="105"/>
      <c r="H91" s="103"/>
      <c r="I91" s="157"/>
      <c r="J91" s="103"/>
      <c r="K91" s="103"/>
      <c r="L91" s="105"/>
      <c r="M91" s="105"/>
      <c r="N91" s="107"/>
      <c r="O91" s="105"/>
      <c r="P91" s="263"/>
      <c r="Q91" s="264">
        <f t="shared" si="26"/>
        <v>0</v>
      </c>
      <c r="R91" s="263"/>
      <c r="S91" s="264">
        <f t="shared" si="27"/>
        <v>0</v>
      </c>
      <c r="T91" s="263"/>
      <c r="U91" s="264">
        <f t="shared" si="28"/>
        <v>0</v>
      </c>
      <c r="V91" s="263"/>
      <c r="W91" s="264">
        <f t="shared" si="29"/>
        <v>0</v>
      </c>
      <c r="X91" s="263"/>
      <c r="Y91" s="264">
        <f t="shared" si="30"/>
        <v>0</v>
      </c>
      <c r="Z91" s="263"/>
      <c r="AA91" s="264">
        <f t="shared" si="31"/>
        <v>0</v>
      </c>
      <c r="AB91" s="263"/>
      <c r="AC91" s="264">
        <f t="shared" si="32"/>
        <v>0</v>
      </c>
      <c r="AD91" s="263"/>
      <c r="AE91" s="264">
        <f t="shared" si="33"/>
        <v>0</v>
      </c>
      <c r="AF91" s="263"/>
      <c r="AG91" s="264">
        <f t="shared" si="34"/>
        <v>0</v>
      </c>
      <c r="AH91" s="263"/>
      <c r="AI91" s="264">
        <f t="shared" si="35"/>
        <v>0</v>
      </c>
      <c r="AJ91" s="263"/>
      <c r="AK91" s="264">
        <f t="shared" si="36"/>
        <v>0</v>
      </c>
      <c r="AL91" s="263"/>
      <c r="AM91" s="264">
        <f t="shared" si="37"/>
        <v>0</v>
      </c>
      <c r="AN91" s="267">
        <f t="shared" si="38"/>
        <v>0</v>
      </c>
      <c r="AO91" s="268"/>
      <c r="AP91" s="158"/>
    </row>
    <row r="92" spans="1:42" thickBot="1">
      <c r="A92" s="106"/>
      <c r="B92" s="157"/>
      <c r="C92" s="157"/>
      <c r="D92" s="104"/>
      <c r="E92" s="105"/>
      <c r="F92" s="105"/>
      <c r="G92" s="105"/>
      <c r="H92" s="103"/>
      <c r="I92" s="157"/>
      <c r="J92" s="103"/>
      <c r="K92" s="103"/>
      <c r="L92" s="105"/>
      <c r="M92" s="105"/>
      <c r="N92" s="107"/>
      <c r="O92" s="105"/>
      <c r="P92" s="263"/>
      <c r="Q92" s="264">
        <f t="shared" si="26"/>
        <v>0</v>
      </c>
      <c r="R92" s="263"/>
      <c r="S92" s="264">
        <f t="shared" si="27"/>
        <v>0</v>
      </c>
      <c r="T92" s="263"/>
      <c r="U92" s="264">
        <f t="shared" si="28"/>
        <v>0</v>
      </c>
      <c r="V92" s="263"/>
      <c r="W92" s="264">
        <f t="shared" si="29"/>
        <v>0</v>
      </c>
      <c r="X92" s="263"/>
      <c r="Y92" s="264">
        <f t="shared" si="30"/>
        <v>0</v>
      </c>
      <c r="Z92" s="263"/>
      <c r="AA92" s="264">
        <f t="shared" si="31"/>
        <v>0</v>
      </c>
      <c r="AB92" s="263"/>
      <c r="AC92" s="264">
        <f t="shared" si="32"/>
        <v>0</v>
      </c>
      <c r="AD92" s="263"/>
      <c r="AE92" s="264">
        <f t="shared" si="33"/>
        <v>0</v>
      </c>
      <c r="AF92" s="263"/>
      <c r="AG92" s="264">
        <f t="shared" si="34"/>
        <v>0</v>
      </c>
      <c r="AH92" s="263"/>
      <c r="AI92" s="264">
        <f t="shared" si="35"/>
        <v>0</v>
      </c>
      <c r="AJ92" s="263"/>
      <c r="AK92" s="264">
        <f t="shared" si="36"/>
        <v>0</v>
      </c>
      <c r="AL92" s="263"/>
      <c r="AM92" s="264">
        <f t="shared" si="37"/>
        <v>0</v>
      </c>
      <c r="AN92" s="267">
        <f t="shared" si="38"/>
        <v>0</v>
      </c>
      <c r="AO92" s="268"/>
      <c r="AP92" s="158"/>
    </row>
    <row r="93" spans="1:42" thickBot="1">
      <c r="A93" s="106"/>
      <c r="B93" s="157"/>
      <c r="C93" s="157"/>
      <c r="D93" s="104"/>
      <c r="E93" s="105"/>
      <c r="F93" s="105"/>
      <c r="G93" s="105"/>
      <c r="H93" s="103"/>
      <c r="I93" s="157"/>
      <c r="J93" s="103"/>
      <c r="K93" s="103"/>
      <c r="L93" s="105"/>
      <c r="M93" s="105"/>
      <c r="N93" s="107"/>
      <c r="O93" s="105"/>
      <c r="P93" s="263"/>
      <c r="Q93" s="264">
        <f t="shared" si="26"/>
        <v>0</v>
      </c>
      <c r="R93" s="263"/>
      <c r="S93" s="264">
        <f t="shared" si="27"/>
        <v>0</v>
      </c>
      <c r="T93" s="263"/>
      <c r="U93" s="264">
        <f t="shared" si="28"/>
        <v>0</v>
      </c>
      <c r="V93" s="263"/>
      <c r="W93" s="264">
        <f t="shared" si="29"/>
        <v>0</v>
      </c>
      <c r="X93" s="263"/>
      <c r="Y93" s="264">
        <f t="shared" si="30"/>
        <v>0</v>
      </c>
      <c r="Z93" s="263"/>
      <c r="AA93" s="264">
        <f t="shared" si="31"/>
        <v>0</v>
      </c>
      <c r="AB93" s="263"/>
      <c r="AC93" s="264">
        <f t="shared" si="32"/>
        <v>0</v>
      </c>
      <c r="AD93" s="263"/>
      <c r="AE93" s="264">
        <f t="shared" si="33"/>
        <v>0</v>
      </c>
      <c r="AF93" s="263"/>
      <c r="AG93" s="264">
        <f t="shared" si="34"/>
        <v>0</v>
      </c>
      <c r="AH93" s="263"/>
      <c r="AI93" s="264">
        <f t="shared" si="35"/>
        <v>0</v>
      </c>
      <c r="AJ93" s="263"/>
      <c r="AK93" s="264">
        <f t="shared" si="36"/>
        <v>0</v>
      </c>
      <c r="AL93" s="263"/>
      <c r="AM93" s="264">
        <f t="shared" si="37"/>
        <v>0</v>
      </c>
      <c r="AN93" s="267">
        <f t="shared" si="38"/>
        <v>0</v>
      </c>
      <c r="AO93" s="268"/>
      <c r="AP93" s="158"/>
    </row>
    <row r="94" spans="1:42" thickBot="1">
      <c r="A94" s="106"/>
      <c r="B94" s="157"/>
      <c r="C94" s="157"/>
      <c r="D94" s="104"/>
      <c r="E94" s="105"/>
      <c r="F94" s="105"/>
      <c r="G94" s="105"/>
      <c r="H94" s="103"/>
      <c r="I94" s="157"/>
      <c r="J94" s="103"/>
      <c r="K94" s="103"/>
      <c r="L94" s="105"/>
      <c r="M94" s="105"/>
      <c r="N94" s="107"/>
      <c r="O94" s="105"/>
      <c r="P94" s="263"/>
      <c r="Q94" s="264">
        <f t="shared" si="26"/>
        <v>0</v>
      </c>
      <c r="R94" s="263"/>
      <c r="S94" s="264">
        <f t="shared" si="27"/>
        <v>0</v>
      </c>
      <c r="T94" s="263"/>
      <c r="U94" s="264">
        <f t="shared" si="28"/>
        <v>0</v>
      </c>
      <c r="V94" s="263"/>
      <c r="W94" s="264">
        <f t="shared" si="29"/>
        <v>0</v>
      </c>
      <c r="X94" s="263"/>
      <c r="Y94" s="264">
        <f t="shared" si="30"/>
        <v>0</v>
      </c>
      <c r="Z94" s="263"/>
      <c r="AA94" s="264">
        <f t="shared" si="31"/>
        <v>0</v>
      </c>
      <c r="AB94" s="263"/>
      <c r="AC94" s="264">
        <f t="shared" si="32"/>
        <v>0</v>
      </c>
      <c r="AD94" s="263"/>
      <c r="AE94" s="264">
        <f t="shared" si="33"/>
        <v>0</v>
      </c>
      <c r="AF94" s="263"/>
      <c r="AG94" s="264">
        <f t="shared" si="34"/>
        <v>0</v>
      </c>
      <c r="AH94" s="263"/>
      <c r="AI94" s="264">
        <f t="shared" si="35"/>
        <v>0</v>
      </c>
      <c r="AJ94" s="263"/>
      <c r="AK94" s="264">
        <f t="shared" si="36"/>
        <v>0</v>
      </c>
      <c r="AL94" s="263"/>
      <c r="AM94" s="264">
        <f t="shared" si="37"/>
        <v>0</v>
      </c>
      <c r="AN94" s="267">
        <f t="shared" si="38"/>
        <v>0</v>
      </c>
      <c r="AO94" s="268"/>
      <c r="AP94" s="158"/>
    </row>
    <row r="95" spans="1:42" thickBot="1">
      <c r="A95" s="106"/>
      <c r="B95" s="157"/>
      <c r="C95" s="157"/>
      <c r="D95" s="104"/>
      <c r="E95" s="105"/>
      <c r="F95" s="105"/>
      <c r="G95" s="105"/>
      <c r="H95" s="103"/>
      <c r="I95" s="157"/>
      <c r="J95" s="103"/>
      <c r="K95" s="103"/>
      <c r="L95" s="105"/>
      <c r="M95" s="105"/>
      <c r="N95" s="107"/>
      <c r="O95" s="105"/>
      <c r="P95" s="263"/>
      <c r="Q95" s="264">
        <f t="shared" si="26"/>
        <v>0</v>
      </c>
      <c r="R95" s="263"/>
      <c r="S95" s="264">
        <f t="shared" si="27"/>
        <v>0</v>
      </c>
      <c r="T95" s="263"/>
      <c r="U95" s="264">
        <f t="shared" si="28"/>
        <v>0</v>
      </c>
      <c r="V95" s="263"/>
      <c r="W95" s="264">
        <f t="shared" si="29"/>
        <v>0</v>
      </c>
      <c r="X95" s="263"/>
      <c r="Y95" s="264">
        <f t="shared" si="30"/>
        <v>0</v>
      </c>
      <c r="Z95" s="263"/>
      <c r="AA95" s="264">
        <f t="shared" si="31"/>
        <v>0</v>
      </c>
      <c r="AB95" s="263"/>
      <c r="AC95" s="264">
        <f t="shared" si="32"/>
        <v>0</v>
      </c>
      <c r="AD95" s="263"/>
      <c r="AE95" s="264">
        <f t="shared" si="33"/>
        <v>0</v>
      </c>
      <c r="AF95" s="263"/>
      <c r="AG95" s="264">
        <f t="shared" si="34"/>
        <v>0</v>
      </c>
      <c r="AH95" s="263"/>
      <c r="AI95" s="264">
        <f t="shared" si="35"/>
        <v>0</v>
      </c>
      <c r="AJ95" s="263"/>
      <c r="AK95" s="264">
        <f t="shared" si="36"/>
        <v>0</v>
      </c>
      <c r="AL95" s="263"/>
      <c r="AM95" s="264">
        <f t="shared" si="37"/>
        <v>0</v>
      </c>
      <c r="AN95" s="267">
        <f t="shared" si="38"/>
        <v>0</v>
      </c>
      <c r="AO95" s="268"/>
      <c r="AP95" s="158"/>
    </row>
    <row r="96" spans="1:42" thickBot="1">
      <c r="A96" s="106"/>
      <c r="B96" s="157"/>
      <c r="C96" s="157"/>
      <c r="D96" s="104"/>
      <c r="E96" s="105"/>
      <c r="F96" s="105"/>
      <c r="G96" s="105"/>
      <c r="H96" s="103"/>
      <c r="I96" s="157"/>
      <c r="J96" s="103"/>
      <c r="K96" s="103"/>
      <c r="L96" s="105"/>
      <c r="M96" s="105"/>
      <c r="N96" s="107"/>
      <c r="O96" s="105"/>
      <c r="P96" s="263"/>
      <c r="Q96" s="264">
        <f t="shared" si="26"/>
        <v>0</v>
      </c>
      <c r="R96" s="263"/>
      <c r="S96" s="264">
        <f t="shared" si="27"/>
        <v>0</v>
      </c>
      <c r="T96" s="263"/>
      <c r="U96" s="264">
        <f t="shared" si="28"/>
        <v>0</v>
      </c>
      <c r="V96" s="263"/>
      <c r="W96" s="264">
        <f t="shared" si="29"/>
        <v>0</v>
      </c>
      <c r="X96" s="263"/>
      <c r="Y96" s="264">
        <f t="shared" si="30"/>
        <v>0</v>
      </c>
      <c r="Z96" s="263"/>
      <c r="AA96" s="264">
        <f t="shared" si="31"/>
        <v>0</v>
      </c>
      <c r="AB96" s="263"/>
      <c r="AC96" s="264">
        <f t="shared" si="32"/>
        <v>0</v>
      </c>
      <c r="AD96" s="263"/>
      <c r="AE96" s="264">
        <f t="shared" si="33"/>
        <v>0</v>
      </c>
      <c r="AF96" s="263"/>
      <c r="AG96" s="264">
        <f t="shared" si="34"/>
        <v>0</v>
      </c>
      <c r="AH96" s="263"/>
      <c r="AI96" s="264">
        <f t="shared" si="35"/>
        <v>0</v>
      </c>
      <c r="AJ96" s="263"/>
      <c r="AK96" s="264">
        <f t="shared" si="36"/>
        <v>0</v>
      </c>
      <c r="AL96" s="263"/>
      <c r="AM96" s="264">
        <f t="shared" si="37"/>
        <v>0</v>
      </c>
      <c r="AN96" s="267">
        <f t="shared" si="38"/>
        <v>0</v>
      </c>
      <c r="AO96" s="268"/>
      <c r="AP96" s="158"/>
    </row>
    <row r="97" spans="1:42" thickBot="1">
      <c r="A97" s="106"/>
      <c r="B97" s="157"/>
      <c r="C97" s="157"/>
      <c r="D97" s="104"/>
      <c r="E97" s="105"/>
      <c r="F97" s="105"/>
      <c r="G97" s="105"/>
      <c r="H97" s="103"/>
      <c r="I97" s="157"/>
      <c r="J97" s="103"/>
      <c r="K97" s="103"/>
      <c r="L97" s="105"/>
      <c r="M97" s="105"/>
      <c r="N97" s="107"/>
      <c r="O97" s="105"/>
      <c r="P97" s="263"/>
      <c r="Q97" s="264">
        <f t="shared" si="26"/>
        <v>0</v>
      </c>
      <c r="R97" s="263"/>
      <c r="S97" s="264">
        <f t="shared" si="27"/>
        <v>0</v>
      </c>
      <c r="T97" s="263"/>
      <c r="U97" s="264">
        <f t="shared" si="28"/>
        <v>0</v>
      </c>
      <c r="V97" s="263"/>
      <c r="W97" s="264">
        <f t="shared" si="29"/>
        <v>0</v>
      </c>
      <c r="X97" s="263"/>
      <c r="Y97" s="264">
        <f t="shared" si="30"/>
        <v>0</v>
      </c>
      <c r="Z97" s="263"/>
      <c r="AA97" s="264">
        <f t="shared" si="31"/>
        <v>0</v>
      </c>
      <c r="AB97" s="263"/>
      <c r="AC97" s="264">
        <f t="shared" si="32"/>
        <v>0</v>
      </c>
      <c r="AD97" s="263"/>
      <c r="AE97" s="264">
        <f t="shared" si="33"/>
        <v>0</v>
      </c>
      <c r="AF97" s="263"/>
      <c r="AG97" s="264">
        <f t="shared" si="34"/>
        <v>0</v>
      </c>
      <c r="AH97" s="263"/>
      <c r="AI97" s="264">
        <f t="shared" si="35"/>
        <v>0</v>
      </c>
      <c r="AJ97" s="263"/>
      <c r="AK97" s="264">
        <f t="shared" si="36"/>
        <v>0</v>
      </c>
      <c r="AL97" s="263"/>
      <c r="AM97" s="264">
        <f t="shared" si="37"/>
        <v>0</v>
      </c>
      <c r="AN97" s="267">
        <f t="shared" si="38"/>
        <v>0</v>
      </c>
      <c r="AO97" s="268"/>
      <c r="AP97" s="158"/>
    </row>
    <row r="98" spans="1:42" thickBot="1">
      <c r="A98" s="106"/>
      <c r="B98" s="157"/>
      <c r="C98" s="157"/>
      <c r="D98" s="104"/>
      <c r="E98" s="105"/>
      <c r="F98" s="105"/>
      <c r="G98" s="105"/>
      <c r="H98" s="103"/>
      <c r="I98" s="157"/>
      <c r="J98" s="103"/>
      <c r="K98" s="103"/>
      <c r="L98" s="105"/>
      <c r="M98" s="105"/>
      <c r="N98" s="107"/>
      <c r="O98" s="105"/>
      <c r="P98" s="263"/>
      <c r="Q98" s="264">
        <f t="shared" si="26"/>
        <v>0</v>
      </c>
      <c r="R98" s="263"/>
      <c r="S98" s="264">
        <f t="shared" si="27"/>
        <v>0</v>
      </c>
      <c r="T98" s="263"/>
      <c r="U98" s="264">
        <f t="shared" si="28"/>
        <v>0</v>
      </c>
      <c r="V98" s="263"/>
      <c r="W98" s="264">
        <f t="shared" si="29"/>
        <v>0</v>
      </c>
      <c r="X98" s="263"/>
      <c r="Y98" s="264">
        <f t="shared" si="30"/>
        <v>0</v>
      </c>
      <c r="Z98" s="263"/>
      <c r="AA98" s="264">
        <f t="shared" si="31"/>
        <v>0</v>
      </c>
      <c r="AB98" s="263"/>
      <c r="AC98" s="264">
        <f t="shared" si="32"/>
        <v>0</v>
      </c>
      <c r="AD98" s="263"/>
      <c r="AE98" s="264">
        <f t="shared" si="33"/>
        <v>0</v>
      </c>
      <c r="AF98" s="263"/>
      <c r="AG98" s="264">
        <f t="shared" si="34"/>
        <v>0</v>
      </c>
      <c r="AH98" s="263"/>
      <c r="AI98" s="264">
        <f t="shared" si="35"/>
        <v>0</v>
      </c>
      <c r="AJ98" s="263"/>
      <c r="AK98" s="264">
        <f t="shared" si="36"/>
        <v>0</v>
      </c>
      <c r="AL98" s="263"/>
      <c r="AM98" s="264">
        <f t="shared" si="37"/>
        <v>0</v>
      </c>
      <c r="AN98" s="267">
        <f t="shared" si="38"/>
        <v>0</v>
      </c>
      <c r="AO98" s="268"/>
      <c r="AP98" s="158"/>
    </row>
    <row r="99" spans="1:42" thickBot="1">
      <c r="A99" s="106"/>
      <c r="B99" s="157"/>
      <c r="C99" s="157"/>
      <c r="D99" s="104"/>
      <c r="E99" s="105"/>
      <c r="F99" s="105"/>
      <c r="G99" s="105"/>
      <c r="H99" s="103"/>
      <c r="I99" s="157"/>
      <c r="J99" s="103"/>
      <c r="K99" s="103"/>
      <c r="L99" s="105"/>
      <c r="M99" s="105"/>
      <c r="N99" s="107"/>
      <c r="O99" s="105"/>
      <c r="P99" s="263"/>
      <c r="Q99" s="264">
        <f t="shared" si="26"/>
        <v>0</v>
      </c>
      <c r="R99" s="263"/>
      <c r="S99" s="264">
        <f t="shared" si="27"/>
        <v>0</v>
      </c>
      <c r="T99" s="263"/>
      <c r="U99" s="264">
        <f t="shared" si="28"/>
        <v>0</v>
      </c>
      <c r="V99" s="263"/>
      <c r="W99" s="264">
        <f t="shared" si="29"/>
        <v>0</v>
      </c>
      <c r="X99" s="263"/>
      <c r="Y99" s="264">
        <f t="shared" si="30"/>
        <v>0</v>
      </c>
      <c r="Z99" s="263"/>
      <c r="AA99" s="264">
        <f t="shared" si="31"/>
        <v>0</v>
      </c>
      <c r="AB99" s="263"/>
      <c r="AC99" s="264">
        <f t="shared" si="32"/>
        <v>0</v>
      </c>
      <c r="AD99" s="263"/>
      <c r="AE99" s="264">
        <f t="shared" si="33"/>
        <v>0</v>
      </c>
      <c r="AF99" s="263"/>
      <c r="AG99" s="264">
        <f t="shared" si="34"/>
        <v>0</v>
      </c>
      <c r="AH99" s="263"/>
      <c r="AI99" s="264">
        <f t="shared" si="35"/>
        <v>0</v>
      </c>
      <c r="AJ99" s="263"/>
      <c r="AK99" s="264">
        <f t="shared" si="36"/>
        <v>0</v>
      </c>
      <c r="AL99" s="263"/>
      <c r="AM99" s="264">
        <f t="shared" si="37"/>
        <v>0</v>
      </c>
      <c r="AN99" s="267">
        <f t="shared" si="38"/>
        <v>0</v>
      </c>
      <c r="AO99" s="268"/>
      <c r="AP99" s="158"/>
    </row>
    <row r="100" spans="1:42" thickBot="1">
      <c r="A100" s="106"/>
      <c r="B100" s="157"/>
      <c r="C100" s="157"/>
      <c r="D100" s="104"/>
      <c r="E100" s="105"/>
      <c r="F100" s="105"/>
      <c r="G100" s="105"/>
      <c r="H100" s="103"/>
      <c r="I100" s="157"/>
      <c r="J100" s="103"/>
      <c r="K100" s="103"/>
      <c r="L100" s="105"/>
      <c r="M100" s="105"/>
      <c r="N100" s="107"/>
      <c r="O100" s="105"/>
      <c r="P100" s="263"/>
      <c r="Q100" s="264">
        <f t="shared" si="26"/>
        <v>0</v>
      </c>
      <c r="R100" s="263"/>
      <c r="S100" s="264">
        <f t="shared" si="27"/>
        <v>0</v>
      </c>
      <c r="T100" s="263"/>
      <c r="U100" s="264">
        <f t="shared" si="28"/>
        <v>0</v>
      </c>
      <c r="V100" s="263"/>
      <c r="W100" s="264">
        <f t="shared" si="29"/>
        <v>0</v>
      </c>
      <c r="X100" s="263"/>
      <c r="Y100" s="264">
        <f t="shared" si="30"/>
        <v>0</v>
      </c>
      <c r="Z100" s="263"/>
      <c r="AA100" s="264">
        <f t="shared" si="31"/>
        <v>0</v>
      </c>
      <c r="AB100" s="263"/>
      <c r="AC100" s="264">
        <f t="shared" si="32"/>
        <v>0</v>
      </c>
      <c r="AD100" s="263"/>
      <c r="AE100" s="264">
        <f t="shared" si="33"/>
        <v>0</v>
      </c>
      <c r="AF100" s="263"/>
      <c r="AG100" s="264">
        <f t="shared" si="34"/>
        <v>0</v>
      </c>
      <c r="AH100" s="263"/>
      <c r="AI100" s="264">
        <f t="shared" si="35"/>
        <v>0</v>
      </c>
      <c r="AJ100" s="263"/>
      <c r="AK100" s="264">
        <f t="shared" si="36"/>
        <v>0</v>
      </c>
      <c r="AL100" s="263"/>
      <c r="AM100" s="264">
        <f t="shared" si="37"/>
        <v>0</v>
      </c>
      <c r="AN100" s="267">
        <f t="shared" si="38"/>
        <v>0</v>
      </c>
      <c r="AO100" s="268"/>
      <c r="AP100" s="158"/>
    </row>
    <row r="101" spans="1:42" thickBot="1">
      <c r="A101" s="106"/>
      <c r="B101" s="157"/>
      <c r="C101" s="157"/>
      <c r="D101" s="104"/>
      <c r="E101" s="105"/>
      <c r="F101" s="105"/>
      <c r="G101" s="105"/>
      <c r="H101" s="103"/>
      <c r="I101" s="157"/>
      <c r="J101" s="103"/>
      <c r="K101" s="103"/>
      <c r="L101" s="105"/>
      <c r="M101" s="105"/>
      <c r="N101" s="107"/>
      <c r="O101" s="105"/>
      <c r="P101" s="263"/>
      <c r="Q101" s="264">
        <f t="shared" si="26"/>
        <v>0</v>
      </c>
      <c r="R101" s="263"/>
      <c r="S101" s="264">
        <f t="shared" si="27"/>
        <v>0</v>
      </c>
      <c r="T101" s="263"/>
      <c r="U101" s="264">
        <f t="shared" si="28"/>
        <v>0</v>
      </c>
      <c r="V101" s="263"/>
      <c r="W101" s="264">
        <f t="shared" si="29"/>
        <v>0</v>
      </c>
      <c r="X101" s="263"/>
      <c r="Y101" s="264">
        <f t="shared" si="30"/>
        <v>0</v>
      </c>
      <c r="Z101" s="263"/>
      <c r="AA101" s="264">
        <f t="shared" si="31"/>
        <v>0</v>
      </c>
      <c r="AB101" s="263"/>
      <c r="AC101" s="264">
        <f t="shared" si="32"/>
        <v>0</v>
      </c>
      <c r="AD101" s="263"/>
      <c r="AE101" s="264">
        <f t="shared" si="33"/>
        <v>0</v>
      </c>
      <c r="AF101" s="263"/>
      <c r="AG101" s="264">
        <f t="shared" si="34"/>
        <v>0</v>
      </c>
      <c r="AH101" s="263"/>
      <c r="AI101" s="264">
        <f t="shared" si="35"/>
        <v>0</v>
      </c>
      <c r="AJ101" s="263"/>
      <c r="AK101" s="264">
        <f t="shared" si="36"/>
        <v>0</v>
      </c>
      <c r="AL101" s="263"/>
      <c r="AM101" s="264">
        <f t="shared" si="37"/>
        <v>0</v>
      </c>
      <c r="AN101" s="267">
        <f t="shared" si="38"/>
        <v>0</v>
      </c>
      <c r="AO101" s="268"/>
      <c r="AP101" s="158"/>
    </row>
    <row r="102" spans="1:42" thickBot="1">
      <c r="A102" s="106"/>
      <c r="B102" s="157"/>
      <c r="C102" s="157"/>
      <c r="D102" s="104"/>
      <c r="E102" s="105"/>
      <c r="F102" s="105"/>
      <c r="G102" s="105"/>
      <c r="H102" s="103"/>
      <c r="I102" s="157"/>
      <c r="J102" s="103"/>
      <c r="K102" s="103"/>
      <c r="L102" s="105"/>
      <c r="M102" s="105"/>
      <c r="N102" s="107"/>
      <c r="O102" s="105"/>
      <c r="P102" s="263"/>
      <c r="Q102" s="264">
        <f t="shared" si="26"/>
        <v>0</v>
      </c>
      <c r="R102" s="263"/>
      <c r="S102" s="264">
        <f t="shared" si="27"/>
        <v>0</v>
      </c>
      <c r="T102" s="263"/>
      <c r="U102" s="264">
        <f t="shared" si="28"/>
        <v>0</v>
      </c>
      <c r="V102" s="263"/>
      <c r="W102" s="264">
        <f t="shared" si="29"/>
        <v>0</v>
      </c>
      <c r="X102" s="263"/>
      <c r="Y102" s="264">
        <f t="shared" si="30"/>
        <v>0</v>
      </c>
      <c r="Z102" s="263"/>
      <c r="AA102" s="264">
        <f t="shared" si="31"/>
        <v>0</v>
      </c>
      <c r="AB102" s="263"/>
      <c r="AC102" s="264">
        <f t="shared" si="32"/>
        <v>0</v>
      </c>
      <c r="AD102" s="263"/>
      <c r="AE102" s="264">
        <f t="shared" si="33"/>
        <v>0</v>
      </c>
      <c r="AF102" s="263"/>
      <c r="AG102" s="264">
        <f t="shared" si="34"/>
        <v>0</v>
      </c>
      <c r="AH102" s="263"/>
      <c r="AI102" s="264">
        <f t="shared" si="35"/>
        <v>0</v>
      </c>
      <c r="AJ102" s="263"/>
      <c r="AK102" s="264">
        <f t="shared" si="36"/>
        <v>0</v>
      </c>
      <c r="AL102" s="263"/>
      <c r="AM102" s="264">
        <f t="shared" si="37"/>
        <v>0</v>
      </c>
      <c r="AN102" s="267">
        <f t="shared" si="38"/>
        <v>0</v>
      </c>
      <c r="AO102" s="268"/>
      <c r="AP102" s="158"/>
    </row>
    <row r="103" spans="1:42" thickBot="1">
      <c r="A103" s="106"/>
      <c r="B103" s="157"/>
      <c r="C103" s="157"/>
      <c r="D103" s="104"/>
      <c r="E103" s="105"/>
      <c r="F103" s="105"/>
      <c r="G103" s="105"/>
      <c r="H103" s="103"/>
      <c r="I103" s="157"/>
      <c r="J103" s="103"/>
      <c r="K103" s="103"/>
      <c r="L103" s="105"/>
      <c r="M103" s="105"/>
      <c r="N103" s="107"/>
      <c r="O103" s="105"/>
      <c r="P103" s="263"/>
      <c r="Q103" s="264">
        <f t="shared" si="26"/>
        <v>0</v>
      </c>
      <c r="R103" s="263"/>
      <c r="S103" s="264">
        <f t="shared" si="27"/>
        <v>0</v>
      </c>
      <c r="T103" s="263"/>
      <c r="U103" s="264">
        <f t="shared" si="28"/>
        <v>0</v>
      </c>
      <c r="V103" s="263"/>
      <c r="W103" s="264">
        <f t="shared" si="29"/>
        <v>0</v>
      </c>
      <c r="X103" s="263"/>
      <c r="Y103" s="264">
        <f t="shared" si="30"/>
        <v>0</v>
      </c>
      <c r="Z103" s="263"/>
      <c r="AA103" s="264">
        <f t="shared" si="31"/>
        <v>0</v>
      </c>
      <c r="AB103" s="263"/>
      <c r="AC103" s="264">
        <f t="shared" si="32"/>
        <v>0</v>
      </c>
      <c r="AD103" s="263"/>
      <c r="AE103" s="264">
        <f t="shared" si="33"/>
        <v>0</v>
      </c>
      <c r="AF103" s="263"/>
      <c r="AG103" s="264">
        <f t="shared" si="34"/>
        <v>0</v>
      </c>
      <c r="AH103" s="263"/>
      <c r="AI103" s="264">
        <f t="shared" si="35"/>
        <v>0</v>
      </c>
      <c r="AJ103" s="263"/>
      <c r="AK103" s="264">
        <f t="shared" si="36"/>
        <v>0</v>
      </c>
      <c r="AL103" s="263"/>
      <c r="AM103" s="264">
        <f t="shared" si="37"/>
        <v>0</v>
      </c>
      <c r="AN103" s="267">
        <f t="shared" si="38"/>
        <v>0</v>
      </c>
      <c r="AO103" s="268"/>
      <c r="AP103" s="158"/>
    </row>
    <row r="104" spans="1:42" thickBot="1">
      <c r="A104" s="106"/>
      <c r="B104" s="157"/>
      <c r="C104" s="157"/>
      <c r="D104" s="104"/>
      <c r="E104" s="105"/>
      <c r="F104" s="105"/>
      <c r="G104" s="105"/>
      <c r="H104" s="103"/>
      <c r="I104" s="157"/>
      <c r="J104" s="103"/>
      <c r="K104" s="103"/>
      <c r="L104" s="105"/>
      <c r="M104" s="105"/>
      <c r="N104" s="107"/>
      <c r="O104" s="105"/>
      <c r="P104" s="263"/>
      <c r="Q104" s="264">
        <f t="shared" si="26"/>
        <v>0</v>
      </c>
      <c r="R104" s="263"/>
      <c r="S104" s="264">
        <f t="shared" si="27"/>
        <v>0</v>
      </c>
      <c r="T104" s="263"/>
      <c r="U104" s="264">
        <f t="shared" si="28"/>
        <v>0</v>
      </c>
      <c r="V104" s="263"/>
      <c r="W104" s="264">
        <f t="shared" si="29"/>
        <v>0</v>
      </c>
      <c r="X104" s="263"/>
      <c r="Y104" s="264">
        <f t="shared" si="30"/>
        <v>0</v>
      </c>
      <c r="Z104" s="263"/>
      <c r="AA104" s="264">
        <f t="shared" si="31"/>
        <v>0</v>
      </c>
      <c r="AB104" s="263"/>
      <c r="AC104" s="264">
        <f t="shared" si="32"/>
        <v>0</v>
      </c>
      <c r="AD104" s="263"/>
      <c r="AE104" s="264">
        <f t="shared" si="33"/>
        <v>0</v>
      </c>
      <c r="AF104" s="263"/>
      <c r="AG104" s="264">
        <f t="shared" si="34"/>
        <v>0</v>
      </c>
      <c r="AH104" s="263"/>
      <c r="AI104" s="264">
        <f t="shared" si="35"/>
        <v>0</v>
      </c>
      <c r="AJ104" s="263"/>
      <c r="AK104" s="264">
        <f t="shared" si="36"/>
        <v>0</v>
      </c>
      <c r="AL104" s="263"/>
      <c r="AM104" s="264">
        <f t="shared" si="37"/>
        <v>0</v>
      </c>
      <c r="AN104" s="267">
        <f t="shared" si="38"/>
        <v>0</v>
      </c>
      <c r="AO104" s="268"/>
      <c r="AP104" s="158"/>
    </row>
    <row r="105" spans="1:42" thickBot="1">
      <c r="A105" s="106"/>
      <c r="B105" s="157"/>
      <c r="C105" s="157"/>
      <c r="D105" s="104"/>
      <c r="E105" s="105"/>
      <c r="F105" s="105"/>
      <c r="G105" s="105"/>
      <c r="H105" s="103"/>
      <c r="I105" s="157"/>
      <c r="J105" s="103"/>
      <c r="K105" s="103"/>
      <c r="L105" s="105"/>
      <c r="M105" s="105"/>
      <c r="N105" s="107"/>
      <c r="O105" s="105"/>
      <c r="P105" s="263"/>
      <c r="Q105" s="264">
        <f t="shared" si="26"/>
        <v>0</v>
      </c>
      <c r="R105" s="263"/>
      <c r="S105" s="264">
        <f t="shared" si="27"/>
        <v>0</v>
      </c>
      <c r="T105" s="263"/>
      <c r="U105" s="264">
        <f t="shared" si="28"/>
        <v>0</v>
      </c>
      <c r="V105" s="263"/>
      <c r="W105" s="264">
        <f t="shared" si="29"/>
        <v>0</v>
      </c>
      <c r="X105" s="263"/>
      <c r="Y105" s="264">
        <f t="shared" si="30"/>
        <v>0</v>
      </c>
      <c r="Z105" s="263"/>
      <c r="AA105" s="264">
        <f t="shared" si="31"/>
        <v>0</v>
      </c>
      <c r="AB105" s="263"/>
      <c r="AC105" s="264">
        <f t="shared" si="32"/>
        <v>0</v>
      </c>
      <c r="AD105" s="263"/>
      <c r="AE105" s="264">
        <f t="shared" si="33"/>
        <v>0</v>
      </c>
      <c r="AF105" s="263"/>
      <c r="AG105" s="264">
        <f t="shared" si="34"/>
        <v>0</v>
      </c>
      <c r="AH105" s="263"/>
      <c r="AI105" s="264">
        <f t="shared" si="35"/>
        <v>0</v>
      </c>
      <c r="AJ105" s="263"/>
      <c r="AK105" s="264">
        <f t="shared" si="36"/>
        <v>0</v>
      </c>
      <c r="AL105" s="263"/>
      <c r="AM105" s="264">
        <f t="shared" si="37"/>
        <v>0</v>
      </c>
      <c r="AN105" s="267">
        <f t="shared" si="38"/>
        <v>0</v>
      </c>
      <c r="AO105" s="268"/>
      <c r="AP105" s="158"/>
    </row>
    <row r="106" spans="1:42" thickBot="1">
      <c r="A106" s="106"/>
      <c r="B106" s="157"/>
      <c r="C106" s="157"/>
      <c r="D106" s="104"/>
      <c r="E106" s="105"/>
      <c r="F106" s="105"/>
      <c r="G106" s="105"/>
      <c r="H106" s="103"/>
      <c r="I106" s="157"/>
      <c r="J106" s="103"/>
      <c r="K106" s="103"/>
      <c r="L106" s="105"/>
      <c r="M106" s="105"/>
      <c r="N106" s="107"/>
      <c r="O106" s="105"/>
      <c r="P106" s="263"/>
      <c r="Q106" s="264">
        <f t="shared" si="26"/>
        <v>0</v>
      </c>
      <c r="R106" s="263"/>
      <c r="S106" s="264">
        <f t="shared" si="27"/>
        <v>0</v>
      </c>
      <c r="T106" s="263"/>
      <c r="U106" s="264">
        <f t="shared" si="28"/>
        <v>0</v>
      </c>
      <c r="V106" s="263"/>
      <c r="W106" s="264">
        <f t="shared" si="29"/>
        <v>0</v>
      </c>
      <c r="X106" s="263"/>
      <c r="Y106" s="264">
        <f t="shared" si="30"/>
        <v>0</v>
      </c>
      <c r="Z106" s="263"/>
      <c r="AA106" s="264">
        <f t="shared" si="31"/>
        <v>0</v>
      </c>
      <c r="AB106" s="263"/>
      <c r="AC106" s="264">
        <f t="shared" si="32"/>
        <v>0</v>
      </c>
      <c r="AD106" s="263"/>
      <c r="AE106" s="264">
        <f t="shared" si="33"/>
        <v>0</v>
      </c>
      <c r="AF106" s="263"/>
      <c r="AG106" s="264">
        <f t="shared" si="34"/>
        <v>0</v>
      </c>
      <c r="AH106" s="263"/>
      <c r="AI106" s="264">
        <f t="shared" si="35"/>
        <v>0</v>
      </c>
      <c r="AJ106" s="263"/>
      <c r="AK106" s="264">
        <f t="shared" si="36"/>
        <v>0</v>
      </c>
      <c r="AL106" s="263"/>
      <c r="AM106" s="264">
        <f t="shared" si="37"/>
        <v>0</v>
      </c>
      <c r="AN106" s="267">
        <f t="shared" si="38"/>
        <v>0</v>
      </c>
      <c r="AO106" s="268"/>
      <c r="AP106" s="158"/>
    </row>
    <row r="107" spans="1:42" thickBot="1">
      <c r="A107" s="106"/>
      <c r="B107" s="157"/>
      <c r="C107" s="157"/>
      <c r="D107" s="104"/>
      <c r="E107" s="105"/>
      <c r="F107" s="105"/>
      <c r="G107" s="105"/>
      <c r="H107" s="103"/>
      <c r="I107" s="157"/>
      <c r="J107" s="103"/>
      <c r="K107" s="103"/>
      <c r="L107" s="105"/>
      <c r="M107" s="105"/>
      <c r="N107" s="107"/>
      <c r="O107" s="105"/>
      <c r="P107" s="263"/>
      <c r="Q107" s="264">
        <f t="shared" si="26"/>
        <v>0</v>
      </c>
      <c r="R107" s="263"/>
      <c r="S107" s="264">
        <f t="shared" si="27"/>
        <v>0</v>
      </c>
      <c r="T107" s="263"/>
      <c r="U107" s="264">
        <f t="shared" si="28"/>
        <v>0</v>
      </c>
      <c r="V107" s="263"/>
      <c r="W107" s="264">
        <f t="shared" si="29"/>
        <v>0</v>
      </c>
      <c r="X107" s="263"/>
      <c r="Y107" s="264">
        <f t="shared" si="30"/>
        <v>0</v>
      </c>
      <c r="Z107" s="263"/>
      <c r="AA107" s="264">
        <f t="shared" si="31"/>
        <v>0</v>
      </c>
      <c r="AB107" s="263"/>
      <c r="AC107" s="264">
        <f t="shared" si="32"/>
        <v>0</v>
      </c>
      <c r="AD107" s="263"/>
      <c r="AE107" s="264">
        <f t="shared" si="33"/>
        <v>0</v>
      </c>
      <c r="AF107" s="263"/>
      <c r="AG107" s="264">
        <f t="shared" si="34"/>
        <v>0</v>
      </c>
      <c r="AH107" s="263"/>
      <c r="AI107" s="264">
        <f t="shared" si="35"/>
        <v>0</v>
      </c>
      <c r="AJ107" s="263"/>
      <c r="AK107" s="264">
        <f t="shared" si="36"/>
        <v>0</v>
      </c>
      <c r="AL107" s="263"/>
      <c r="AM107" s="264">
        <f t="shared" si="37"/>
        <v>0</v>
      </c>
      <c r="AN107" s="267">
        <f t="shared" si="38"/>
        <v>0</v>
      </c>
      <c r="AO107" s="268"/>
      <c r="AP107" s="158"/>
    </row>
    <row r="108" spans="1:42" thickBot="1">
      <c r="A108" s="106"/>
      <c r="B108" s="157"/>
      <c r="C108" s="157"/>
      <c r="D108" s="104"/>
      <c r="E108" s="105"/>
      <c r="F108" s="105"/>
      <c r="G108" s="105"/>
      <c r="H108" s="103"/>
      <c r="I108" s="157"/>
      <c r="J108" s="103"/>
      <c r="K108" s="103"/>
      <c r="L108" s="105"/>
      <c r="M108" s="105"/>
      <c r="N108" s="107"/>
      <c r="O108" s="105"/>
      <c r="P108" s="263"/>
      <c r="Q108" s="264">
        <f t="shared" si="26"/>
        <v>0</v>
      </c>
      <c r="R108" s="263"/>
      <c r="S108" s="264">
        <f t="shared" si="27"/>
        <v>0</v>
      </c>
      <c r="T108" s="263"/>
      <c r="U108" s="264">
        <f t="shared" si="28"/>
        <v>0</v>
      </c>
      <c r="V108" s="263"/>
      <c r="W108" s="264">
        <f t="shared" si="29"/>
        <v>0</v>
      </c>
      <c r="X108" s="263"/>
      <c r="Y108" s="264">
        <f t="shared" si="30"/>
        <v>0</v>
      </c>
      <c r="Z108" s="263"/>
      <c r="AA108" s="264">
        <f t="shared" si="31"/>
        <v>0</v>
      </c>
      <c r="AB108" s="263"/>
      <c r="AC108" s="264">
        <f t="shared" si="32"/>
        <v>0</v>
      </c>
      <c r="AD108" s="263"/>
      <c r="AE108" s="264">
        <f t="shared" si="33"/>
        <v>0</v>
      </c>
      <c r="AF108" s="263"/>
      <c r="AG108" s="264">
        <f t="shared" si="34"/>
        <v>0</v>
      </c>
      <c r="AH108" s="263"/>
      <c r="AI108" s="264">
        <f t="shared" si="35"/>
        <v>0</v>
      </c>
      <c r="AJ108" s="263"/>
      <c r="AK108" s="264">
        <f t="shared" si="36"/>
        <v>0</v>
      </c>
      <c r="AL108" s="263"/>
      <c r="AM108" s="264">
        <f t="shared" si="37"/>
        <v>0</v>
      </c>
      <c r="AN108" s="267">
        <f t="shared" si="38"/>
        <v>0</v>
      </c>
      <c r="AO108" s="268"/>
      <c r="AP108" s="158"/>
    </row>
    <row r="109" spans="1:42" thickBot="1">
      <c r="A109" s="106"/>
      <c r="B109" s="157"/>
      <c r="C109" s="157"/>
      <c r="D109" s="104"/>
      <c r="E109" s="105"/>
      <c r="F109" s="105"/>
      <c r="G109" s="105"/>
      <c r="H109" s="103"/>
      <c r="I109" s="157"/>
      <c r="J109" s="103"/>
      <c r="K109" s="103"/>
      <c r="L109" s="105"/>
      <c r="M109" s="105"/>
      <c r="N109" s="107"/>
      <c r="O109" s="105"/>
      <c r="P109" s="263"/>
      <c r="Q109" s="264">
        <f t="shared" si="26"/>
        <v>0</v>
      </c>
      <c r="R109" s="263"/>
      <c r="S109" s="264">
        <f t="shared" si="27"/>
        <v>0</v>
      </c>
      <c r="T109" s="263"/>
      <c r="U109" s="264">
        <f t="shared" si="28"/>
        <v>0</v>
      </c>
      <c r="V109" s="263"/>
      <c r="W109" s="264">
        <f t="shared" si="29"/>
        <v>0</v>
      </c>
      <c r="X109" s="263"/>
      <c r="Y109" s="264">
        <f t="shared" si="30"/>
        <v>0</v>
      </c>
      <c r="Z109" s="263"/>
      <c r="AA109" s="264">
        <f t="shared" si="31"/>
        <v>0</v>
      </c>
      <c r="AB109" s="263"/>
      <c r="AC109" s="264">
        <f t="shared" si="32"/>
        <v>0</v>
      </c>
      <c r="AD109" s="263"/>
      <c r="AE109" s="264">
        <f t="shared" si="33"/>
        <v>0</v>
      </c>
      <c r="AF109" s="263"/>
      <c r="AG109" s="264">
        <f t="shared" si="34"/>
        <v>0</v>
      </c>
      <c r="AH109" s="263"/>
      <c r="AI109" s="264">
        <f t="shared" si="35"/>
        <v>0</v>
      </c>
      <c r="AJ109" s="263"/>
      <c r="AK109" s="264">
        <f t="shared" si="36"/>
        <v>0</v>
      </c>
      <c r="AL109" s="263"/>
      <c r="AM109" s="264">
        <f t="shared" si="37"/>
        <v>0</v>
      </c>
      <c r="AN109" s="267">
        <f t="shared" si="38"/>
        <v>0</v>
      </c>
      <c r="AO109" s="268"/>
      <c r="AP109" s="158"/>
    </row>
    <row r="110" spans="1:42" thickBot="1">
      <c r="A110" s="106"/>
      <c r="B110" s="157"/>
      <c r="C110" s="157"/>
      <c r="D110" s="104"/>
      <c r="E110" s="105"/>
      <c r="F110" s="105"/>
      <c r="G110" s="105"/>
      <c r="H110" s="103"/>
      <c r="I110" s="157"/>
      <c r="J110" s="103"/>
      <c r="K110" s="103"/>
      <c r="L110" s="105"/>
      <c r="M110" s="105"/>
      <c r="N110" s="107"/>
      <c r="O110" s="105"/>
      <c r="P110" s="263"/>
      <c r="Q110" s="264">
        <f t="shared" si="26"/>
        <v>0</v>
      </c>
      <c r="R110" s="263"/>
      <c r="S110" s="264">
        <f t="shared" si="27"/>
        <v>0</v>
      </c>
      <c r="T110" s="263"/>
      <c r="U110" s="264">
        <f t="shared" si="28"/>
        <v>0</v>
      </c>
      <c r="V110" s="263"/>
      <c r="W110" s="264">
        <f t="shared" si="29"/>
        <v>0</v>
      </c>
      <c r="X110" s="263"/>
      <c r="Y110" s="264">
        <f t="shared" si="30"/>
        <v>0</v>
      </c>
      <c r="Z110" s="263"/>
      <c r="AA110" s="264">
        <f t="shared" si="31"/>
        <v>0</v>
      </c>
      <c r="AB110" s="263"/>
      <c r="AC110" s="264">
        <f t="shared" si="32"/>
        <v>0</v>
      </c>
      <c r="AD110" s="263"/>
      <c r="AE110" s="264">
        <f t="shared" si="33"/>
        <v>0</v>
      </c>
      <c r="AF110" s="263"/>
      <c r="AG110" s="264">
        <f t="shared" si="34"/>
        <v>0</v>
      </c>
      <c r="AH110" s="263"/>
      <c r="AI110" s="264">
        <f t="shared" si="35"/>
        <v>0</v>
      </c>
      <c r="AJ110" s="263"/>
      <c r="AK110" s="264">
        <f t="shared" si="36"/>
        <v>0</v>
      </c>
      <c r="AL110" s="263"/>
      <c r="AM110" s="264">
        <f t="shared" si="37"/>
        <v>0</v>
      </c>
      <c r="AN110" s="267">
        <f t="shared" si="38"/>
        <v>0</v>
      </c>
      <c r="AO110" s="268"/>
      <c r="AP110" s="158"/>
    </row>
    <row r="111" spans="1:42" thickBot="1">
      <c r="A111" s="106"/>
      <c r="B111" s="157"/>
      <c r="C111" s="157"/>
      <c r="D111" s="104"/>
      <c r="E111" s="105"/>
      <c r="F111" s="105"/>
      <c r="G111" s="105"/>
      <c r="H111" s="103"/>
      <c r="I111" s="157"/>
      <c r="J111" s="103"/>
      <c r="K111" s="103"/>
      <c r="L111" s="105"/>
      <c r="M111" s="105"/>
      <c r="N111" s="107"/>
      <c r="O111" s="105"/>
      <c r="P111" s="263"/>
      <c r="Q111" s="264">
        <f t="shared" si="26"/>
        <v>0</v>
      </c>
      <c r="R111" s="263"/>
      <c r="S111" s="264">
        <f t="shared" si="27"/>
        <v>0</v>
      </c>
      <c r="T111" s="263"/>
      <c r="U111" s="264">
        <f t="shared" si="28"/>
        <v>0</v>
      </c>
      <c r="V111" s="263"/>
      <c r="W111" s="264">
        <f t="shared" si="29"/>
        <v>0</v>
      </c>
      <c r="X111" s="263"/>
      <c r="Y111" s="264">
        <f t="shared" si="30"/>
        <v>0</v>
      </c>
      <c r="Z111" s="263"/>
      <c r="AA111" s="264">
        <f t="shared" si="31"/>
        <v>0</v>
      </c>
      <c r="AB111" s="263"/>
      <c r="AC111" s="264">
        <f t="shared" si="32"/>
        <v>0</v>
      </c>
      <c r="AD111" s="263"/>
      <c r="AE111" s="264">
        <f t="shared" si="33"/>
        <v>0</v>
      </c>
      <c r="AF111" s="263"/>
      <c r="AG111" s="264">
        <f t="shared" si="34"/>
        <v>0</v>
      </c>
      <c r="AH111" s="263"/>
      <c r="AI111" s="264">
        <f t="shared" si="35"/>
        <v>0</v>
      </c>
      <c r="AJ111" s="263"/>
      <c r="AK111" s="264">
        <f t="shared" si="36"/>
        <v>0</v>
      </c>
      <c r="AL111" s="263"/>
      <c r="AM111" s="264">
        <f t="shared" si="37"/>
        <v>0</v>
      </c>
      <c r="AN111" s="267">
        <f t="shared" si="38"/>
        <v>0</v>
      </c>
      <c r="AO111" s="268"/>
      <c r="AP111" s="158"/>
    </row>
    <row r="112" spans="1:42" thickBot="1">
      <c r="A112" s="106"/>
      <c r="B112" s="157"/>
      <c r="C112" s="157"/>
      <c r="D112" s="104"/>
      <c r="E112" s="105"/>
      <c r="F112" s="105"/>
      <c r="G112" s="105"/>
      <c r="H112" s="103"/>
      <c r="I112" s="157"/>
      <c r="J112" s="103"/>
      <c r="K112" s="103"/>
      <c r="L112" s="105"/>
      <c r="M112" s="105"/>
      <c r="N112" s="107"/>
      <c r="O112" s="105"/>
      <c r="P112" s="263"/>
      <c r="Q112" s="264">
        <f t="shared" si="26"/>
        <v>0</v>
      </c>
      <c r="R112" s="263"/>
      <c r="S112" s="264">
        <f t="shared" si="27"/>
        <v>0</v>
      </c>
      <c r="T112" s="263"/>
      <c r="U112" s="264">
        <f t="shared" si="28"/>
        <v>0</v>
      </c>
      <c r="V112" s="263"/>
      <c r="W112" s="264">
        <f t="shared" si="29"/>
        <v>0</v>
      </c>
      <c r="X112" s="263"/>
      <c r="Y112" s="264">
        <f t="shared" si="30"/>
        <v>0</v>
      </c>
      <c r="Z112" s="263"/>
      <c r="AA112" s="264">
        <f t="shared" si="31"/>
        <v>0</v>
      </c>
      <c r="AB112" s="263"/>
      <c r="AC112" s="264">
        <f t="shared" si="32"/>
        <v>0</v>
      </c>
      <c r="AD112" s="263"/>
      <c r="AE112" s="264">
        <f t="shared" si="33"/>
        <v>0</v>
      </c>
      <c r="AF112" s="263"/>
      <c r="AG112" s="264">
        <f t="shared" si="34"/>
        <v>0</v>
      </c>
      <c r="AH112" s="263"/>
      <c r="AI112" s="264">
        <f t="shared" si="35"/>
        <v>0</v>
      </c>
      <c r="AJ112" s="263"/>
      <c r="AK112" s="264">
        <f t="shared" si="36"/>
        <v>0</v>
      </c>
      <c r="AL112" s="263"/>
      <c r="AM112" s="264">
        <f t="shared" si="37"/>
        <v>0</v>
      </c>
      <c r="AN112" s="267">
        <f t="shared" si="38"/>
        <v>0</v>
      </c>
      <c r="AO112" s="268"/>
      <c r="AP112" s="158"/>
    </row>
    <row r="113" spans="1:42" thickBot="1">
      <c r="A113" s="106"/>
      <c r="B113" s="157"/>
      <c r="C113" s="157"/>
      <c r="D113" s="104"/>
      <c r="E113" s="105"/>
      <c r="F113" s="105"/>
      <c r="G113" s="105"/>
      <c r="H113" s="103"/>
      <c r="I113" s="157"/>
      <c r="J113" s="103"/>
      <c r="K113" s="103"/>
      <c r="L113" s="105"/>
      <c r="M113" s="105"/>
      <c r="N113" s="107"/>
      <c r="O113" s="105"/>
      <c r="P113" s="263"/>
      <c r="Q113" s="264">
        <f t="shared" si="26"/>
        <v>0</v>
      </c>
      <c r="R113" s="263"/>
      <c r="S113" s="264">
        <f t="shared" si="27"/>
        <v>0</v>
      </c>
      <c r="T113" s="263"/>
      <c r="U113" s="264">
        <f t="shared" si="28"/>
        <v>0</v>
      </c>
      <c r="V113" s="263"/>
      <c r="W113" s="264">
        <f t="shared" si="29"/>
        <v>0</v>
      </c>
      <c r="X113" s="263"/>
      <c r="Y113" s="264">
        <f t="shared" si="30"/>
        <v>0</v>
      </c>
      <c r="Z113" s="263"/>
      <c r="AA113" s="264">
        <f t="shared" si="31"/>
        <v>0</v>
      </c>
      <c r="AB113" s="263"/>
      <c r="AC113" s="264">
        <f t="shared" si="32"/>
        <v>0</v>
      </c>
      <c r="AD113" s="263"/>
      <c r="AE113" s="264">
        <f t="shared" si="33"/>
        <v>0</v>
      </c>
      <c r="AF113" s="263"/>
      <c r="AG113" s="264">
        <f t="shared" si="34"/>
        <v>0</v>
      </c>
      <c r="AH113" s="263"/>
      <c r="AI113" s="264">
        <f t="shared" si="35"/>
        <v>0</v>
      </c>
      <c r="AJ113" s="263"/>
      <c r="AK113" s="264">
        <f t="shared" si="36"/>
        <v>0</v>
      </c>
      <c r="AL113" s="263"/>
      <c r="AM113" s="264">
        <f t="shared" si="37"/>
        <v>0</v>
      </c>
      <c r="AN113" s="267">
        <f t="shared" si="38"/>
        <v>0</v>
      </c>
      <c r="AO113" s="268"/>
      <c r="AP113" s="158"/>
    </row>
    <row r="114" spans="1:42" thickBot="1">
      <c r="A114" s="106"/>
      <c r="B114" s="157"/>
      <c r="C114" s="157"/>
      <c r="D114" s="104"/>
      <c r="E114" s="105"/>
      <c r="F114" s="105"/>
      <c r="G114" s="105"/>
      <c r="H114" s="103"/>
      <c r="I114" s="157"/>
      <c r="J114" s="103"/>
      <c r="K114" s="103"/>
      <c r="L114" s="105"/>
      <c r="M114" s="105"/>
      <c r="N114" s="107"/>
      <c r="O114" s="105"/>
      <c r="P114" s="263"/>
      <c r="Q114" s="264">
        <f t="shared" si="26"/>
        <v>0</v>
      </c>
      <c r="R114" s="263"/>
      <c r="S114" s="264">
        <f t="shared" si="27"/>
        <v>0</v>
      </c>
      <c r="T114" s="263"/>
      <c r="U114" s="264">
        <f t="shared" si="28"/>
        <v>0</v>
      </c>
      <c r="V114" s="263"/>
      <c r="W114" s="264">
        <f t="shared" si="29"/>
        <v>0</v>
      </c>
      <c r="X114" s="263"/>
      <c r="Y114" s="264">
        <f t="shared" si="30"/>
        <v>0</v>
      </c>
      <c r="Z114" s="263"/>
      <c r="AA114" s="264">
        <f t="shared" si="31"/>
        <v>0</v>
      </c>
      <c r="AB114" s="263"/>
      <c r="AC114" s="264">
        <f t="shared" si="32"/>
        <v>0</v>
      </c>
      <c r="AD114" s="263"/>
      <c r="AE114" s="264">
        <f t="shared" si="33"/>
        <v>0</v>
      </c>
      <c r="AF114" s="263"/>
      <c r="AG114" s="264">
        <f t="shared" si="34"/>
        <v>0</v>
      </c>
      <c r="AH114" s="263"/>
      <c r="AI114" s="264">
        <f t="shared" si="35"/>
        <v>0</v>
      </c>
      <c r="AJ114" s="263"/>
      <c r="AK114" s="264">
        <f t="shared" si="36"/>
        <v>0</v>
      </c>
      <c r="AL114" s="263"/>
      <c r="AM114" s="264">
        <f t="shared" si="37"/>
        <v>0</v>
      </c>
      <c r="AN114" s="267">
        <f t="shared" si="38"/>
        <v>0</v>
      </c>
      <c r="AO114" s="268"/>
      <c r="AP114" s="158"/>
    </row>
    <row r="115" spans="1:42" thickBot="1">
      <c r="A115" s="106"/>
      <c r="B115" s="157"/>
      <c r="C115" s="157"/>
      <c r="D115" s="104"/>
      <c r="E115" s="105"/>
      <c r="F115" s="105"/>
      <c r="G115" s="105"/>
      <c r="H115" s="103"/>
      <c r="I115" s="157"/>
      <c r="J115" s="103"/>
      <c r="K115" s="103"/>
      <c r="L115" s="105"/>
      <c r="M115" s="105"/>
      <c r="N115" s="107"/>
      <c r="O115" s="105"/>
      <c r="P115" s="263"/>
      <c r="Q115" s="264">
        <f t="shared" si="26"/>
        <v>0</v>
      </c>
      <c r="R115" s="263"/>
      <c r="S115" s="264">
        <f t="shared" si="27"/>
        <v>0</v>
      </c>
      <c r="T115" s="263"/>
      <c r="U115" s="264">
        <f t="shared" si="28"/>
        <v>0</v>
      </c>
      <c r="V115" s="263"/>
      <c r="W115" s="264">
        <f t="shared" si="29"/>
        <v>0</v>
      </c>
      <c r="X115" s="263"/>
      <c r="Y115" s="264">
        <f t="shared" si="30"/>
        <v>0</v>
      </c>
      <c r="Z115" s="263"/>
      <c r="AA115" s="264">
        <f t="shared" si="31"/>
        <v>0</v>
      </c>
      <c r="AB115" s="263"/>
      <c r="AC115" s="264">
        <f t="shared" si="32"/>
        <v>0</v>
      </c>
      <c r="AD115" s="263"/>
      <c r="AE115" s="264">
        <f t="shared" si="33"/>
        <v>0</v>
      </c>
      <c r="AF115" s="263"/>
      <c r="AG115" s="264">
        <f t="shared" si="34"/>
        <v>0</v>
      </c>
      <c r="AH115" s="263"/>
      <c r="AI115" s="264">
        <f t="shared" si="35"/>
        <v>0</v>
      </c>
      <c r="AJ115" s="263"/>
      <c r="AK115" s="264">
        <f t="shared" si="36"/>
        <v>0</v>
      </c>
      <c r="AL115" s="263"/>
      <c r="AM115" s="264">
        <f t="shared" si="37"/>
        <v>0</v>
      </c>
      <c r="AN115" s="267">
        <f t="shared" si="38"/>
        <v>0</v>
      </c>
      <c r="AO115" s="268"/>
      <c r="AP115" s="158"/>
    </row>
    <row r="116" spans="1:42" thickBot="1">
      <c r="A116" s="106"/>
      <c r="B116" s="157"/>
      <c r="C116" s="157"/>
      <c r="D116" s="104"/>
      <c r="E116" s="105"/>
      <c r="F116" s="105"/>
      <c r="G116" s="105"/>
      <c r="H116" s="103"/>
      <c r="I116" s="157"/>
      <c r="J116" s="103"/>
      <c r="K116" s="103"/>
      <c r="L116" s="105"/>
      <c r="M116" s="105"/>
      <c r="N116" s="107"/>
      <c r="O116" s="105"/>
      <c r="P116" s="263"/>
      <c r="Q116" s="264">
        <f t="shared" si="26"/>
        <v>0</v>
      </c>
      <c r="R116" s="263"/>
      <c r="S116" s="264">
        <f t="shared" si="27"/>
        <v>0</v>
      </c>
      <c r="T116" s="263"/>
      <c r="U116" s="264">
        <f t="shared" si="28"/>
        <v>0</v>
      </c>
      <c r="V116" s="263"/>
      <c r="W116" s="264">
        <f t="shared" si="29"/>
        <v>0</v>
      </c>
      <c r="X116" s="263"/>
      <c r="Y116" s="264">
        <f t="shared" si="30"/>
        <v>0</v>
      </c>
      <c r="Z116" s="263"/>
      <c r="AA116" s="264">
        <f t="shared" si="31"/>
        <v>0</v>
      </c>
      <c r="AB116" s="263"/>
      <c r="AC116" s="264">
        <f t="shared" si="32"/>
        <v>0</v>
      </c>
      <c r="AD116" s="263"/>
      <c r="AE116" s="264">
        <f t="shared" si="33"/>
        <v>0</v>
      </c>
      <c r="AF116" s="263"/>
      <c r="AG116" s="264">
        <f t="shared" si="34"/>
        <v>0</v>
      </c>
      <c r="AH116" s="263"/>
      <c r="AI116" s="264">
        <f t="shared" si="35"/>
        <v>0</v>
      </c>
      <c r="AJ116" s="263"/>
      <c r="AK116" s="264">
        <f t="shared" si="36"/>
        <v>0</v>
      </c>
      <c r="AL116" s="263"/>
      <c r="AM116" s="264">
        <f t="shared" si="37"/>
        <v>0</v>
      </c>
      <c r="AN116" s="267">
        <f t="shared" si="38"/>
        <v>0</v>
      </c>
      <c r="AO116" s="268"/>
      <c r="AP116" s="158"/>
    </row>
    <row r="117" spans="1:42" thickBot="1">
      <c r="A117" s="106"/>
      <c r="B117" s="157"/>
      <c r="C117" s="157"/>
      <c r="D117" s="104"/>
      <c r="E117" s="105"/>
      <c r="F117" s="105"/>
      <c r="G117" s="105"/>
      <c r="H117" s="103"/>
      <c r="I117" s="157"/>
      <c r="J117" s="103"/>
      <c r="K117" s="103"/>
      <c r="L117" s="105"/>
      <c r="M117" s="105"/>
      <c r="N117" s="107"/>
      <c r="O117" s="105"/>
      <c r="P117" s="263"/>
      <c r="Q117" s="264">
        <f t="shared" si="26"/>
        <v>0</v>
      </c>
      <c r="R117" s="263"/>
      <c r="S117" s="264">
        <f t="shared" si="27"/>
        <v>0</v>
      </c>
      <c r="T117" s="263"/>
      <c r="U117" s="264">
        <f t="shared" si="28"/>
        <v>0</v>
      </c>
      <c r="V117" s="263"/>
      <c r="W117" s="264">
        <f t="shared" si="29"/>
        <v>0</v>
      </c>
      <c r="X117" s="263"/>
      <c r="Y117" s="264">
        <f t="shared" si="30"/>
        <v>0</v>
      </c>
      <c r="Z117" s="263"/>
      <c r="AA117" s="264">
        <f t="shared" si="31"/>
        <v>0</v>
      </c>
      <c r="AB117" s="263"/>
      <c r="AC117" s="264">
        <f t="shared" si="32"/>
        <v>0</v>
      </c>
      <c r="AD117" s="263"/>
      <c r="AE117" s="264">
        <f t="shared" si="33"/>
        <v>0</v>
      </c>
      <c r="AF117" s="263"/>
      <c r="AG117" s="264">
        <f t="shared" si="34"/>
        <v>0</v>
      </c>
      <c r="AH117" s="263"/>
      <c r="AI117" s="264">
        <f t="shared" si="35"/>
        <v>0</v>
      </c>
      <c r="AJ117" s="263"/>
      <c r="AK117" s="264">
        <f t="shared" si="36"/>
        <v>0</v>
      </c>
      <c r="AL117" s="263"/>
      <c r="AM117" s="264">
        <f t="shared" si="37"/>
        <v>0</v>
      </c>
      <c r="AN117" s="267">
        <f t="shared" si="38"/>
        <v>0</v>
      </c>
      <c r="AO117" s="268"/>
      <c r="AP117" s="158"/>
    </row>
    <row r="118" spans="1:42" thickBot="1">
      <c r="A118" s="106"/>
      <c r="B118" s="157"/>
      <c r="C118" s="157"/>
      <c r="D118" s="104"/>
      <c r="E118" s="105"/>
      <c r="F118" s="105"/>
      <c r="G118" s="105"/>
      <c r="H118" s="103"/>
      <c r="I118" s="157"/>
      <c r="J118" s="103"/>
      <c r="K118" s="103"/>
      <c r="L118" s="105"/>
      <c r="M118" s="105"/>
      <c r="N118" s="107"/>
      <c r="O118" s="105"/>
      <c r="P118" s="263"/>
      <c r="Q118" s="264">
        <f t="shared" si="26"/>
        <v>0</v>
      </c>
      <c r="R118" s="263"/>
      <c r="S118" s="264">
        <f t="shared" si="27"/>
        <v>0</v>
      </c>
      <c r="T118" s="263"/>
      <c r="U118" s="264">
        <f t="shared" si="28"/>
        <v>0</v>
      </c>
      <c r="V118" s="263"/>
      <c r="W118" s="264">
        <f t="shared" si="29"/>
        <v>0</v>
      </c>
      <c r="X118" s="263"/>
      <c r="Y118" s="264">
        <f t="shared" si="30"/>
        <v>0</v>
      </c>
      <c r="Z118" s="263"/>
      <c r="AA118" s="264">
        <f t="shared" si="31"/>
        <v>0</v>
      </c>
      <c r="AB118" s="263"/>
      <c r="AC118" s="264">
        <f t="shared" si="32"/>
        <v>0</v>
      </c>
      <c r="AD118" s="263"/>
      <c r="AE118" s="264">
        <f t="shared" si="33"/>
        <v>0</v>
      </c>
      <c r="AF118" s="263"/>
      <c r="AG118" s="264">
        <f t="shared" si="34"/>
        <v>0</v>
      </c>
      <c r="AH118" s="263"/>
      <c r="AI118" s="264">
        <f t="shared" si="35"/>
        <v>0</v>
      </c>
      <c r="AJ118" s="263"/>
      <c r="AK118" s="264">
        <f t="shared" si="36"/>
        <v>0</v>
      </c>
      <c r="AL118" s="263"/>
      <c r="AM118" s="264">
        <f t="shared" si="37"/>
        <v>0</v>
      </c>
      <c r="AN118" s="267">
        <f t="shared" si="38"/>
        <v>0</v>
      </c>
      <c r="AO118" s="268"/>
      <c r="AP118" s="158"/>
    </row>
    <row r="119" spans="1:42" thickBot="1">
      <c r="A119" s="106"/>
      <c r="B119" s="157"/>
      <c r="C119" s="157"/>
      <c r="D119" s="104"/>
      <c r="E119" s="105"/>
      <c r="F119" s="105"/>
      <c r="G119" s="105"/>
      <c r="H119" s="103"/>
      <c r="I119" s="157"/>
      <c r="J119" s="103"/>
      <c r="K119" s="103"/>
      <c r="L119" s="105"/>
      <c r="M119" s="105"/>
      <c r="N119" s="107"/>
      <c r="O119" s="105"/>
      <c r="P119" s="263"/>
      <c r="Q119" s="264">
        <f t="shared" si="26"/>
        <v>0</v>
      </c>
      <c r="R119" s="263"/>
      <c r="S119" s="264">
        <f t="shared" si="27"/>
        <v>0</v>
      </c>
      <c r="T119" s="263"/>
      <c r="U119" s="264">
        <f t="shared" si="28"/>
        <v>0</v>
      </c>
      <c r="V119" s="263"/>
      <c r="W119" s="264">
        <f t="shared" si="29"/>
        <v>0</v>
      </c>
      <c r="X119" s="263"/>
      <c r="Y119" s="264">
        <f t="shared" si="30"/>
        <v>0</v>
      </c>
      <c r="Z119" s="263"/>
      <c r="AA119" s="264">
        <f t="shared" si="31"/>
        <v>0</v>
      </c>
      <c r="AB119" s="263"/>
      <c r="AC119" s="264">
        <f t="shared" si="32"/>
        <v>0</v>
      </c>
      <c r="AD119" s="263"/>
      <c r="AE119" s="264">
        <f t="shared" si="33"/>
        <v>0</v>
      </c>
      <c r="AF119" s="263"/>
      <c r="AG119" s="264">
        <f t="shared" si="34"/>
        <v>0</v>
      </c>
      <c r="AH119" s="263"/>
      <c r="AI119" s="264">
        <f t="shared" si="35"/>
        <v>0</v>
      </c>
      <c r="AJ119" s="263"/>
      <c r="AK119" s="264">
        <f t="shared" si="36"/>
        <v>0</v>
      </c>
      <c r="AL119" s="263"/>
      <c r="AM119" s="264">
        <f t="shared" si="37"/>
        <v>0</v>
      </c>
      <c r="AN119" s="267">
        <f t="shared" si="38"/>
        <v>0</v>
      </c>
      <c r="AO119" s="268"/>
      <c r="AP119" s="158"/>
    </row>
    <row r="120" spans="1:42" thickBot="1">
      <c r="A120" s="106"/>
      <c r="B120" s="157"/>
      <c r="C120" s="157"/>
      <c r="D120" s="104"/>
      <c r="E120" s="105"/>
      <c r="F120" s="105"/>
      <c r="G120" s="105"/>
      <c r="H120" s="103"/>
      <c r="I120" s="157"/>
      <c r="J120" s="103"/>
      <c r="K120" s="103"/>
      <c r="L120" s="105"/>
      <c r="M120" s="105"/>
      <c r="N120" s="107"/>
      <c r="O120" s="105"/>
      <c r="P120" s="263"/>
      <c r="Q120" s="264">
        <f t="shared" si="26"/>
        <v>0</v>
      </c>
      <c r="R120" s="263"/>
      <c r="S120" s="264">
        <f t="shared" si="27"/>
        <v>0</v>
      </c>
      <c r="T120" s="263"/>
      <c r="U120" s="264">
        <f t="shared" si="28"/>
        <v>0</v>
      </c>
      <c r="V120" s="263"/>
      <c r="W120" s="264">
        <f t="shared" si="29"/>
        <v>0</v>
      </c>
      <c r="X120" s="263"/>
      <c r="Y120" s="264">
        <f t="shared" si="30"/>
        <v>0</v>
      </c>
      <c r="Z120" s="263"/>
      <c r="AA120" s="264">
        <f t="shared" si="31"/>
        <v>0</v>
      </c>
      <c r="AB120" s="263"/>
      <c r="AC120" s="264">
        <f t="shared" si="32"/>
        <v>0</v>
      </c>
      <c r="AD120" s="263"/>
      <c r="AE120" s="264">
        <f t="shared" si="33"/>
        <v>0</v>
      </c>
      <c r="AF120" s="263"/>
      <c r="AG120" s="264">
        <f t="shared" si="34"/>
        <v>0</v>
      </c>
      <c r="AH120" s="263"/>
      <c r="AI120" s="264">
        <f t="shared" si="35"/>
        <v>0</v>
      </c>
      <c r="AJ120" s="263"/>
      <c r="AK120" s="264">
        <f t="shared" si="36"/>
        <v>0</v>
      </c>
      <c r="AL120" s="263"/>
      <c r="AM120" s="264">
        <f t="shared" si="37"/>
        <v>0</v>
      </c>
      <c r="AN120" s="267">
        <f t="shared" si="38"/>
        <v>0</v>
      </c>
      <c r="AO120" s="268"/>
      <c r="AP120" s="158"/>
    </row>
    <row r="121" spans="1:42" thickBot="1">
      <c r="A121" s="106"/>
      <c r="B121" s="157"/>
      <c r="C121" s="157"/>
      <c r="D121" s="104"/>
      <c r="E121" s="105"/>
      <c r="F121" s="105"/>
      <c r="G121" s="105"/>
      <c r="H121" s="103"/>
      <c r="I121" s="157"/>
      <c r="J121" s="103"/>
      <c r="K121" s="103"/>
      <c r="L121" s="105"/>
      <c r="M121" s="105"/>
      <c r="N121" s="107"/>
      <c r="O121" s="105"/>
      <c r="P121" s="263"/>
      <c r="Q121" s="264">
        <f t="shared" si="26"/>
        <v>0</v>
      </c>
      <c r="R121" s="263"/>
      <c r="S121" s="264">
        <f t="shared" si="27"/>
        <v>0</v>
      </c>
      <c r="T121" s="263"/>
      <c r="U121" s="264">
        <f t="shared" si="28"/>
        <v>0</v>
      </c>
      <c r="V121" s="263"/>
      <c r="W121" s="264">
        <f t="shared" si="29"/>
        <v>0</v>
      </c>
      <c r="X121" s="263"/>
      <c r="Y121" s="264">
        <f t="shared" si="30"/>
        <v>0</v>
      </c>
      <c r="Z121" s="263"/>
      <c r="AA121" s="264">
        <f t="shared" si="31"/>
        <v>0</v>
      </c>
      <c r="AB121" s="263"/>
      <c r="AC121" s="264">
        <f t="shared" si="32"/>
        <v>0</v>
      </c>
      <c r="AD121" s="263"/>
      <c r="AE121" s="264">
        <f t="shared" si="33"/>
        <v>0</v>
      </c>
      <c r="AF121" s="263"/>
      <c r="AG121" s="264">
        <f t="shared" si="34"/>
        <v>0</v>
      </c>
      <c r="AH121" s="263"/>
      <c r="AI121" s="264">
        <f t="shared" si="35"/>
        <v>0</v>
      </c>
      <c r="AJ121" s="263"/>
      <c r="AK121" s="264">
        <f t="shared" si="36"/>
        <v>0</v>
      </c>
      <c r="AL121" s="263"/>
      <c r="AM121" s="264">
        <f t="shared" si="37"/>
        <v>0</v>
      </c>
      <c r="AN121" s="267">
        <f t="shared" si="38"/>
        <v>0</v>
      </c>
      <c r="AO121" s="268"/>
      <c r="AP121" s="158"/>
    </row>
    <row r="122" spans="1:42" thickBot="1">
      <c r="A122" s="106"/>
      <c r="B122" s="157"/>
      <c r="C122" s="157"/>
      <c r="D122" s="104"/>
      <c r="E122" s="105"/>
      <c r="F122" s="105"/>
      <c r="G122" s="105"/>
      <c r="H122" s="103"/>
      <c r="I122" s="157"/>
      <c r="J122" s="103"/>
      <c r="K122" s="103"/>
      <c r="L122" s="105"/>
      <c r="M122" s="105"/>
      <c r="N122" s="107"/>
      <c r="O122" s="105"/>
      <c r="P122" s="263"/>
      <c r="Q122" s="264">
        <f t="shared" si="26"/>
        <v>0</v>
      </c>
      <c r="R122" s="263"/>
      <c r="S122" s="264">
        <f t="shared" si="27"/>
        <v>0</v>
      </c>
      <c r="T122" s="263"/>
      <c r="U122" s="264">
        <f t="shared" si="28"/>
        <v>0</v>
      </c>
      <c r="V122" s="263"/>
      <c r="W122" s="264">
        <f t="shared" si="29"/>
        <v>0</v>
      </c>
      <c r="X122" s="263"/>
      <c r="Y122" s="264">
        <f t="shared" si="30"/>
        <v>0</v>
      </c>
      <c r="Z122" s="263"/>
      <c r="AA122" s="264">
        <f t="shared" si="31"/>
        <v>0</v>
      </c>
      <c r="AB122" s="263"/>
      <c r="AC122" s="264">
        <f t="shared" si="32"/>
        <v>0</v>
      </c>
      <c r="AD122" s="263"/>
      <c r="AE122" s="264">
        <f t="shared" si="33"/>
        <v>0</v>
      </c>
      <c r="AF122" s="263"/>
      <c r="AG122" s="264">
        <f t="shared" si="34"/>
        <v>0</v>
      </c>
      <c r="AH122" s="263"/>
      <c r="AI122" s="264">
        <f t="shared" si="35"/>
        <v>0</v>
      </c>
      <c r="AJ122" s="263"/>
      <c r="AK122" s="264">
        <f t="shared" si="36"/>
        <v>0</v>
      </c>
      <c r="AL122" s="263"/>
      <c r="AM122" s="264">
        <f t="shared" si="37"/>
        <v>0</v>
      </c>
      <c r="AN122" s="267">
        <f t="shared" si="38"/>
        <v>0</v>
      </c>
      <c r="AO122" s="268"/>
      <c r="AP122" s="158"/>
    </row>
    <row r="123" spans="1:42" thickBot="1">
      <c r="A123" s="106"/>
      <c r="B123" s="157"/>
      <c r="C123" s="157"/>
      <c r="D123" s="104"/>
      <c r="E123" s="105"/>
      <c r="F123" s="105"/>
      <c r="G123" s="105"/>
      <c r="H123" s="103"/>
      <c r="I123" s="157"/>
      <c r="J123" s="103"/>
      <c r="K123" s="103"/>
      <c r="L123" s="105"/>
      <c r="M123" s="105"/>
      <c r="N123" s="107"/>
      <c r="O123" s="105"/>
      <c r="P123" s="263"/>
      <c r="Q123" s="264">
        <f t="shared" si="26"/>
        <v>0</v>
      </c>
      <c r="R123" s="263"/>
      <c r="S123" s="264">
        <f t="shared" si="27"/>
        <v>0</v>
      </c>
      <c r="T123" s="263"/>
      <c r="U123" s="264">
        <f t="shared" si="28"/>
        <v>0</v>
      </c>
      <c r="V123" s="263"/>
      <c r="W123" s="264">
        <f t="shared" si="29"/>
        <v>0</v>
      </c>
      <c r="X123" s="263"/>
      <c r="Y123" s="264">
        <f t="shared" si="30"/>
        <v>0</v>
      </c>
      <c r="Z123" s="263"/>
      <c r="AA123" s="264">
        <f t="shared" si="31"/>
        <v>0</v>
      </c>
      <c r="AB123" s="263"/>
      <c r="AC123" s="264">
        <f t="shared" si="32"/>
        <v>0</v>
      </c>
      <c r="AD123" s="263"/>
      <c r="AE123" s="264">
        <f t="shared" si="33"/>
        <v>0</v>
      </c>
      <c r="AF123" s="263"/>
      <c r="AG123" s="264">
        <f t="shared" si="34"/>
        <v>0</v>
      </c>
      <c r="AH123" s="263"/>
      <c r="AI123" s="264">
        <f t="shared" si="35"/>
        <v>0</v>
      </c>
      <c r="AJ123" s="263"/>
      <c r="AK123" s="264">
        <f t="shared" si="36"/>
        <v>0</v>
      </c>
      <c r="AL123" s="263"/>
      <c r="AM123" s="264">
        <f t="shared" si="37"/>
        <v>0</v>
      </c>
      <c r="AN123" s="267">
        <f t="shared" si="38"/>
        <v>0</v>
      </c>
      <c r="AO123" s="268"/>
      <c r="AP123" s="158"/>
    </row>
    <row r="124" spans="1:42" thickBot="1">
      <c r="A124" s="106"/>
      <c r="B124" s="157"/>
      <c r="C124" s="157"/>
      <c r="D124" s="104"/>
      <c r="E124" s="105"/>
      <c r="F124" s="105"/>
      <c r="G124" s="105"/>
      <c r="H124" s="103"/>
      <c r="I124" s="157"/>
      <c r="J124" s="103"/>
      <c r="K124" s="103"/>
      <c r="L124" s="105"/>
      <c r="M124" s="105"/>
      <c r="N124" s="107"/>
      <c r="O124" s="105"/>
      <c r="P124" s="263"/>
      <c r="Q124" s="264">
        <f t="shared" si="26"/>
        <v>0</v>
      </c>
      <c r="R124" s="263"/>
      <c r="S124" s="264">
        <f t="shared" si="27"/>
        <v>0</v>
      </c>
      <c r="T124" s="263"/>
      <c r="U124" s="264">
        <f t="shared" si="28"/>
        <v>0</v>
      </c>
      <c r="V124" s="263"/>
      <c r="W124" s="264">
        <f t="shared" si="29"/>
        <v>0</v>
      </c>
      <c r="X124" s="263"/>
      <c r="Y124" s="264">
        <f t="shared" si="30"/>
        <v>0</v>
      </c>
      <c r="Z124" s="263"/>
      <c r="AA124" s="264">
        <f t="shared" si="31"/>
        <v>0</v>
      </c>
      <c r="AB124" s="263"/>
      <c r="AC124" s="264">
        <f t="shared" si="32"/>
        <v>0</v>
      </c>
      <c r="AD124" s="263"/>
      <c r="AE124" s="264">
        <f t="shared" si="33"/>
        <v>0</v>
      </c>
      <c r="AF124" s="263"/>
      <c r="AG124" s="264">
        <f t="shared" si="34"/>
        <v>0</v>
      </c>
      <c r="AH124" s="263"/>
      <c r="AI124" s="264">
        <f t="shared" si="35"/>
        <v>0</v>
      </c>
      <c r="AJ124" s="263"/>
      <c r="AK124" s="264">
        <f t="shared" si="36"/>
        <v>0</v>
      </c>
      <c r="AL124" s="263"/>
      <c r="AM124" s="264">
        <f t="shared" si="37"/>
        <v>0</v>
      </c>
      <c r="AN124" s="267">
        <f t="shared" si="38"/>
        <v>0</v>
      </c>
      <c r="AO124" s="268"/>
      <c r="AP124" s="158"/>
    </row>
    <row r="125" spans="1:42" thickBot="1">
      <c r="A125" s="106"/>
      <c r="B125" s="157"/>
      <c r="C125" s="157"/>
      <c r="D125" s="104"/>
      <c r="E125" s="105"/>
      <c r="F125" s="105"/>
      <c r="G125" s="105"/>
      <c r="H125" s="103"/>
      <c r="I125" s="157"/>
      <c r="J125" s="103"/>
      <c r="K125" s="103"/>
      <c r="L125" s="105"/>
      <c r="M125" s="105"/>
      <c r="N125" s="107"/>
      <c r="O125" s="105"/>
      <c r="P125" s="263"/>
      <c r="Q125" s="264">
        <f t="shared" si="26"/>
        <v>0</v>
      </c>
      <c r="R125" s="263"/>
      <c r="S125" s="264">
        <f t="shared" si="27"/>
        <v>0</v>
      </c>
      <c r="T125" s="263"/>
      <c r="U125" s="264">
        <f t="shared" si="28"/>
        <v>0</v>
      </c>
      <c r="V125" s="263"/>
      <c r="W125" s="264">
        <f t="shared" si="29"/>
        <v>0</v>
      </c>
      <c r="X125" s="263"/>
      <c r="Y125" s="264">
        <f t="shared" si="30"/>
        <v>0</v>
      </c>
      <c r="Z125" s="263"/>
      <c r="AA125" s="264">
        <f t="shared" si="31"/>
        <v>0</v>
      </c>
      <c r="AB125" s="263"/>
      <c r="AC125" s="264">
        <f t="shared" si="32"/>
        <v>0</v>
      </c>
      <c r="AD125" s="263"/>
      <c r="AE125" s="264">
        <f t="shared" si="33"/>
        <v>0</v>
      </c>
      <c r="AF125" s="263"/>
      <c r="AG125" s="264">
        <f t="shared" si="34"/>
        <v>0</v>
      </c>
      <c r="AH125" s="263"/>
      <c r="AI125" s="264">
        <f t="shared" si="35"/>
        <v>0</v>
      </c>
      <c r="AJ125" s="263"/>
      <c r="AK125" s="264">
        <f t="shared" si="36"/>
        <v>0</v>
      </c>
      <c r="AL125" s="263"/>
      <c r="AM125" s="264">
        <f t="shared" si="37"/>
        <v>0</v>
      </c>
      <c r="AN125" s="267">
        <f t="shared" si="38"/>
        <v>0</v>
      </c>
      <c r="AO125" s="268"/>
      <c r="AP125" s="158"/>
    </row>
    <row r="126" spans="1:42" thickBot="1">
      <c r="A126" s="106"/>
      <c r="B126" s="157"/>
      <c r="C126" s="157"/>
      <c r="D126" s="104"/>
      <c r="E126" s="105"/>
      <c r="F126" s="105"/>
      <c r="G126" s="105"/>
      <c r="H126" s="103"/>
      <c r="I126" s="157"/>
      <c r="J126" s="103"/>
      <c r="K126" s="103"/>
      <c r="L126" s="105"/>
      <c r="M126" s="105"/>
      <c r="N126" s="107"/>
      <c r="O126" s="105"/>
      <c r="P126" s="263"/>
      <c r="Q126" s="264">
        <f t="shared" si="26"/>
        <v>0</v>
      </c>
      <c r="R126" s="263"/>
      <c r="S126" s="264">
        <f t="shared" si="27"/>
        <v>0</v>
      </c>
      <c r="T126" s="263"/>
      <c r="U126" s="264">
        <f t="shared" si="28"/>
        <v>0</v>
      </c>
      <c r="V126" s="263"/>
      <c r="W126" s="264">
        <f t="shared" si="29"/>
        <v>0</v>
      </c>
      <c r="X126" s="263"/>
      <c r="Y126" s="264">
        <f t="shared" si="30"/>
        <v>0</v>
      </c>
      <c r="Z126" s="263"/>
      <c r="AA126" s="264">
        <f t="shared" si="31"/>
        <v>0</v>
      </c>
      <c r="AB126" s="263"/>
      <c r="AC126" s="264">
        <f t="shared" si="32"/>
        <v>0</v>
      </c>
      <c r="AD126" s="263"/>
      <c r="AE126" s="264">
        <f t="shared" si="33"/>
        <v>0</v>
      </c>
      <c r="AF126" s="263"/>
      <c r="AG126" s="264">
        <f t="shared" si="34"/>
        <v>0</v>
      </c>
      <c r="AH126" s="263"/>
      <c r="AI126" s="264">
        <f t="shared" si="35"/>
        <v>0</v>
      </c>
      <c r="AJ126" s="263"/>
      <c r="AK126" s="264">
        <f t="shared" si="36"/>
        <v>0</v>
      </c>
      <c r="AL126" s="263"/>
      <c r="AM126" s="264">
        <f t="shared" si="37"/>
        <v>0</v>
      </c>
      <c r="AN126" s="267">
        <f t="shared" si="38"/>
        <v>0</v>
      </c>
      <c r="AO126" s="268"/>
      <c r="AP126" s="158"/>
    </row>
    <row r="127" spans="1:42" thickBot="1">
      <c r="A127" s="106"/>
      <c r="B127" s="157"/>
      <c r="C127" s="157"/>
      <c r="D127" s="104"/>
      <c r="E127" s="105"/>
      <c r="F127" s="105"/>
      <c r="G127" s="105"/>
      <c r="H127" s="103"/>
      <c r="I127" s="157"/>
      <c r="J127" s="103"/>
      <c r="K127" s="103"/>
      <c r="L127" s="105"/>
      <c r="M127" s="105"/>
      <c r="N127" s="107"/>
      <c r="O127" s="105"/>
      <c r="P127" s="263"/>
      <c r="Q127" s="264">
        <f t="shared" si="26"/>
        <v>0</v>
      </c>
      <c r="R127" s="263"/>
      <c r="S127" s="264">
        <f t="shared" si="27"/>
        <v>0</v>
      </c>
      <c r="T127" s="263"/>
      <c r="U127" s="264">
        <f t="shared" si="28"/>
        <v>0</v>
      </c>
      <c r="V127" s="263"/>
      <c r="W127" s="264">
        <f t="shared" si="29"/>
        <v>0</v>
      </c>
      <c r="X127" s="263"/>
      <c r="Y127" s="264">
        <f t="shared" si="30"/>
        <v>0</v>
      </c>
      <c r="Z127" s="263"/>
      <c r="AA127" s="264">
        <f t="shared" si="31"/>
        <v>0</v>
      </c>
      <c r="AB127" s="263"/>
      <c r="AC127" s="264">
        <f t="shared" si="32"/>
        <v>0</v>
      </c>
      <c r="AD127" s="263"/>
      <c r="AE127" s="264">
        <f t="shared" si="33"/>
        <v>0</v>
      </c>
      <c r="AF127" s="263"/>
      <c r="AG127" s="264">
        <f t="shared" si="34"/>
        <v>0</v>
      </c>
      <c r="AH127" s="263"/>
      <c r="AI127" s="264">
        <f t="shared" si="35"/>
        <v>0</v>
      </c>
      <c r="AJ127" s="263"/>
      <c r="AK127" s="264">
        <f t="shared" si="36"/>
        <v>0</v>
      </c>
      <c r="AL127" s="263"/>
      <c r="AM127" s="264">
        <f t="shared" si="37"/>
        <v>0</v>
      </c>
      <c r="AN127" s="267">
        <f t="shared" si="38"/>
        <v>0</v>
      </c>
      <c r="AO127" s="268"/>
      <c r="AP127" s="158"/>
    </row>
    <row r="128" spans="1:42" thickBot="1">
      <c r="A128" s="106"/>
      <c r="B128" s="157"/>
      <c r="C128" s="157"/>
      <c r="D128" s="104"/>
      <c r="E128" s="105"/>
      <c r="F128" s="105"/>
      <c r="G128" s="105"/>
      <c r="H128" s="103"/>
      <c r="I128" s="157"/>
      <c r="J128" s="103"/>
      <c r="K128" s="103"/>
      <c r="L128" s="105"/>
      <c r="M128" s="105"/>
      <c r="N128" s="107"/>
      <c r="O128" s="105"/>
      <c r="P128" s="263"/>
      <c r="Q128" s="264">
        <f t="shared" si="26"/>
        <v>0</v>
      </c>
      <c r="R128" s="263"/>
      <c r="S128" s="264">
        <f t="shared" si="27"/>
        <v>0</v>
      </c>
      <c r="T128" s="263"/>
      <c r="U128" s="264">
        <f t="shared" si="28"/>
        <v>0</v>
      </c>
      <c r="V128" s="263"/>
      <c r="W128" s="264">
        <f t="shared" si="29"/>
        <v>0</v>
      </c>
      <c r="X128" s="263"/>
      <c r="Y128" s="264">
        <f t="shared" si="30"/>
        <v>0</v>
      </c>
      <c r="Z128" s="263"/>
      <c r="AA128" s="264">
        <f t="shared" si="31"/>
        <v>0</v>
      </c>
      <c r="AB128" s="263"/>
      <c r="AC128" s="264">
        <f t="shared" si="32"/>
        <v>0</v>
      </c>
      <c r="AD128" s="263"/>
      <c r="AE128" s="264">
        <f t="shared" si="33"/>
        <v>0</v>
      </c>
      <c r="AF128" s="263"/>
      <c r="AG128" s="264">
        <f t="shared" si="34"/>
        <v>0</v>
      </c>
      <c r="AH128" s="263"/>
      <c r="AI128" s="264">
        <f t="shared" si="35"/>
        <v>0</v>
      </c>
      <c r="AJ128" s="263"/>
      <c r="AK128" s="264">
        <f t="shared" si="36"/>
        <v>0</v>
      </c>
      <c r="AL128" s="263"/>
      <c r="AM128" s="264">
        <f t="shared" si="37"/>
        <v>0</v>
      </c>
      <c r="AN128" s="267">
        <f t="shared" si="38"/>
        <v>0</v>
      </c>
      <c r="AO128" s="268"/>
      <c r="AP128" s="158"/>
    </row>
    <row r="129" spans="1:42" thickBot="1">
      <c r="A129" s="106"/>
      <c r="B129" s="157"/>
      <c r="C129" s="157"/>
      <c r="D129" s="104"/>
      <c r="E129" s="105"/>
      <c r="F129" s="105"/>
      <c r="G129" s="105"/>
      <c r="H129" s="103"/>
      <c r="I129" s="157"/>
      <c r="J129" s="103"/>
      <c r="K129" s="103"/>
      <c r="L129" s="105"/>
      <c r="M129" s="105"/>
      <c r="N129" s="107"/>
      <c r="O129" s="105"/>
      <c r="P129" s="263"/>
      <c r="Q129" s="264">
        <f t="shared" si="26"/>
        <v>0</v>
      </c>
      <c r="R129" s="263"/>
      <c r="S129" s="264">
        <f t="shared" si="27"/>
        <v>0</v>
      </c>
      <c r="T129" s="263"/>
      <c r="U129" s="264">
        <f t="shared" si="28"/>
        <v>0</v>
      </c>
      <c r="V129" s="263"/>
      <c r="W129" s="264">
        <f t="shared" si="29"/>
        <v>0</v>
      </c>
      <c r="X129" s="263"/>
      <c r="Y129" s="264">
        <f t="shared" si="30"/>
        <v>0</v>
      </c>
      <c r="Z129" s="263"/>
      <c r="AA129" s="264">
        <f t="shared" si="31"/>
        <v>0</v>
      </c>
      <c r="AB129" s="263"/>
      <c r="AC129" s="264">
        <f t="shared" si="32"/>
        <v>0</v>
      </c>
      <c r="AD129" s="263"/>
      <c r="AE129" s="264">
        <f t="shared" si="33"/>
        <v>0</v>
      </c>
      <c r="AF129" s="263"/>
      <c r="AG129" s="264">
        <f t="shared" si="34"/>
        <v>0</v>
      </c>
      <c r="AH129" s="263"/>
      <c r="AI129" s="264">
        <f t="shared" si="35"/>
        <v>0</v>
      </c>
      <c r="AJ129" s="263"/>
      <c r="AK129" s="264">
        <f t="shared" si="36"/>
        <v>0</v>
      </c>
      <c r="AL129" s="263"/>
      <c r="AM129" s="264">
        <f t="shared" si="37"/>
        <v>0</v>
      </c>
      <c r="AN129" s="267">
        <f t="shared" si="38"/>
        <v>0</v>
      </c>
      <c r="AO129" s="268"/>
      <c r="AP129" s="158"/>
    </row>
    <row r="130" spans="1:42" thickBot="1">
      <c r="A130" s="106"/>
      <c r="B130" s="157"/>
      <c r="C130" s="157"/>
      <c r="D130" s="104"/>
      <c r="E130" s="105"/>
      <c r="F130" s="105"/>
      <c r="G130" s="105"/>
      <c r="H130" s="103"/>
      <c r="I130" s="157"/>
      <c r="J130" s="103"/>
      <c r="K130" s="103"/>
      <c r="L130" s="105"/>
      <c r="M130" s="105"/>
      <c r="N130" s="107"/>
      <c r="O130" s="105"/>
      <c r="P130" s="263"/>
      <c r="Q130" s="264">
        <f t="shared" si="26"/>
        <v>0</v>
      </c>
      <c r="R130" s="263"/>
      <c r="S130" s="264">
        <f t="shared" si="27"/>
        <v>0</v>
      </c>
      <c r="T130" s="263"/>
      <c r="U130" s="264">
        <f t="shared" si="28"/>
        <v>0</v>
      </c>
      <c r="V130" s="263"/>
      <c r="W130" s="264">
        <f t="shared" si="29"/>
        <v>0</v>
      </c>
      <c r="X130" s="263"/>
      <c r="Y130" s="264">
        <f t="shared" si="30"/>
        <v>0</v>
      </c>
      <c r="Z130" s="263"/>
      <c r="AA130" s="264">
        <f t="shared" si="31"/>
        <v>0</v>
      </c>
      <c r="AB130" s="263"/>
      <c r="AC130" s="264">
        <f t="shared" si="32"/>
        <v>0</v>
      </c>
      <c r="AD130" s="263"/>
      <c r="AE130" s="264">
        <f t="shared" si="33"/>
        <v>0</v>
      </c>
      <c r="AF130" s="263"/>
      <c r="AG130" s="264">
        <f t="shared" si="34"/>
        <v>0</v>
      </c>
      <c r="AH130" s="263"/>
      <c r="AI130" s="264">
        <f t="shared" si="35"/>
        <v>0</v>
      </c>
      <c r="AJ130" s="263"/>
      <c r="AK130" s="264">
        <f t="shared" si="36"/>
        <v>0</v>
      </c>
      <c r="AL130" s="263"/>
      <c r="AM130" s="264">
        <f t="shared" si="37"/>
        <v>0</v>
      </c>
      <c r="AN130" s="267">
        <f t="shared" si="38"/>
        <v>0</v>
      </c>
      <c r="AO130" s="268"/>
      <c r="AP130" s="158"/>
    </row>
    <row r="131" spans="1:42" thickBot="1">
      <c r="A131" s="106"/>
      <c r="B131" s="157"/>
      <c r="C131" s="157"/>
      <c r="D131" s="104"/>
      <c r="E131" s="105"/>
      <c r="F131" s="105"/>
      <c r="G131" s="105"/>
      <c r="H131" s="103"/>
      <c r="I131" s="157"/>
      <c r="J131" s="103"/>
      <c r="K131" s="103"/>
      <c r="L131" s="105"/>
      <c r="M131" s="105"/>
      <c r="N131" s="107"/>
      <c r="O131" s="105"/>
      <c r="P131" s="263"/>
      <c r="Q131" s="264">
        <f t="shared" si="26"/>
        <v>0</v>
      </c>
      <c r="R131" s="263"/>
      <c r="S131" s="264">
        <f t="shared" si="27"/>
        <v>0</v>
      </c>
      <c r="T131" s="263"/>
      <c r="U131" s="264">
        <f t="shared" si="28"/>
        <v>0</v>
      </c>
      <c r="V131" s="263"/>
      <c r="W131" s="264">
        <f t="shared" si="29"/>
        <v>0</v>
      </c>
      <c r="X131" s="263"/>
      <c r="Y131" s="264">
        <f t="shared" si="30"/>
        <v>0</v>
      </c>
      <c r="Z131" s="263"/>
      <c r="AA131" s="264">
        <f t="shared" si="31"/>
        <v>0</v>
      </c>
      <c r="AB131" s="263"/>
      <c r="AC131" s="264">
        <f t="shared" si="32"/>
        <v>0</v>
      </c>
      <c r="AD131" s="263"/>
      <c r="AE131" s="264">
        <f t="shared" si="33"/>
        <v>0</v>
      </c>
      <c r="AF131" s="263"/>
      <c r="AG131" s="264">
        <f t="shared" si="34"/>
        <v>0</v>
      </c>
      <c r="AH131" s="263"/>
      <c r="AI131" s="264">
        <f t="shared" si="35"/>
        <v>0</v>
      </c>
      <c r="AJ131" s="263"/>
      <c r="AK131" s="264">
        <f t="shared" si="36"/>
        <v>0</v>
      </c>
      <c r="AL131" s="263"/>
      <c r="AM131" s="264">
        <f t="shared" si="37"/>
        <v>0</v>
      </c>
      <c r="AN131" s="267">
        <f t="shared" si="38"/>
        <v>0</v>
      </c>
      <c r="AO131" s="268"/>
      <c r="AP131" s="158"/>
    </row>
    <row r="132" spans="1:42" thickBot="1">
      <c r="A132" s="106"/>
      <c r="B132" s="157"/>
      <c r="C132" s="157"/>
      <c r="D132" s="104"/>
      <c r="E132" s="105"/>
      <c r="F132" s="105"/>
      <c r="G132" s="105"/>
      <c r="H132" s="103"/>
      <c r="I132" s="157"/>
      <c r="J132" s="103"/>
      <c r="K132" s="103"/>
      <c r="L132" s="105"/>
      <c r="M132" s="105"/>
      <c r="N132" s="107"/>
      <c r="O132" s="105"/>
      <c r="P132" s="263"/>
      <c r="Q132" s="264">
        <f t="shared" si="26"/>
        <v>0</v>
      </c>
      <c r="R132" s="263"/>
      <c r="S132" s="264">
        <f t="shared" si="27"/>
        <v>0</v>
      </c>
      <c r="T132" s="263"/>
      <c r="U132" s="264">
        <f t="shared" si="28"/>
        <v>0</v>
      </c>
      <c r="V132" s="263"/>
      <c r="W132" s="264">
        <f t="shared" si="29"/>
        <v>0</v>
      </c>
      <c r="X132" s="263"/>
      <c r="Y132" s="264">
        <f t="shared" si="30"/>
        <v>0</v>
      </c>
      <c r="Z132" s="263"/>
      <c r="AA132" s="264">
        <f t="shared" si="31"/>
        <v>0</v>
      </c>
      <c r="AB132" s="263"/>
      <c r="AC132" s="264">
        <f t="shared" si="32"/>
        <v>0</v>
      </c>
      <c r="AD132" s="263"/>
      <c r="AE132" s="264">
        <f t="shared" si="33"/>
        <v>0</v>
      </c>
      <c r="AF132" s="263"/>
      <c r="AG132" s="264">
        <f t="shared" si="34"/>
        <v>0</v>
      </c>
      <c r="AH132" s="263"/>
      <c r="AI132" s="264">
        <f t="shared" si="35"/>
        <v>0</v>
      </c>
      <c r="AJ132" s="263"/>
      <c r="AK132" s="264">
        <f t="shared" si="36"/>
        <v>0</v>
      </c>
      <c r="AL132" s="263"/>
      <c r="AM132" s="264">
        <f t="shared" si="37"/>
        <v>0</v>
      </c>
      <c r="AN132" s="267">
        <f t="shared" si="38"/>
        <v>0</v>
      </c>
      <c r="AO132" s="268"/>
      <c r="AP132" s="158"/>
    </row>
    <row r="133" spans="1:42" thickBot="1">
      <c r="A133" s="106"/>
      <c r="B133" s="157"/>
      <c r="C133" s="157"/>
      <c r="D133" s="104"/>
      <c r="E133" s="105"/>
      <c r="F133" s="105"/>
      <c r="G133" s="105"/>
      <c r="H133" s="103"/>
      <c r="I133" s="157"/>
      <c r="J133" s="103"/>
      <c r="K133" s="103"/>
      <c r="L133" s="105"/>
      <c r="M133" s="105"/>
      <c r="N133" s="107"/>
      <c r="O133" s="105"/>
      <c r="P133" s="263"/>
      <c r="Q133" s="264">
        <f t="shared" si="26"/>
        <v>0</v>
      </c>
      <c r="R133" s="263"/>
      <c r="S133" s="264">
        <f t="shared" si="27"/>
        <v>0</v>
      </c>
      <c r="T133" s="263"/>
      <c r="U133" s="264">
        <f t="shared" si="28"/>
        <v>0</v>
      </c>
      <c r="V133" s="263"/>
      <c r="W133" s="264">
        <f t="shared" si="29"/>
        <v>0</v>
      </c>
      <c r="X133" s="263"/>
      <c r="Y133" s="264">
        <f t="shared" si="30"/>
        <v>0</v>
      </c>
      <c r="Z133" s="263"/>
      <c r="AA133" s="264">
        <f t="shared" si="31"/>
        <v>0</v>
      </c>
      <c r="AB133" s="263"/>
      <c r="AC133" s="264">
        <f t="shared" si="32"/>
        <v>0</v>
      </c>
      <c r="AD133" s="263"/>
      <c r="AE133" s="264">
        <f t="shared" si="33"/>
        <v>0</v>
      </c>
      <c r="AF133" s="263"/>
      <c r="AG133" s="264">
        <f t="shared" si="34"/>
        <v>0</v>
      </c>
      <c r="AH133" s="263"/>
      <c r="AI133" s="264">
        <f t="shared" si="35"/>
        <v>0</v>
      </c>
      <c r="AJ133" s="263"/>
      <c r="AK133" s="264">
        <f t="shared" si="36"/>
        <v>0</v>
      </c>
      <c r="AL133" s="263"/>
      <c r="AM133" s="264">
        <f t="shared" si="37"/>
        <v>0</v>
      </c>
      <c r="AN133" s="267">
        <f t="shared" si="38"/>
        <v>0</v>
      </c>
      <c r="AO133" s="268"/>
      <c r="AP133" s="158"/>
    </row>
    <row r="134" spans="1:42" thickBot="1">
      <c r="A134" s="106"/>
      <c r="B134" s="157"/>
      <c r="C134" s="157"/>
      <c r="D134" s="104"/>
      <c r="E134" s="105"/>
      <c r="F134" s="105"/>
      <c r="G134" s="105"/>
      <c r="H134" s="103"/>
      <c r="I134" s="157"/>
      <c r="J134" s="103"/>
      <c r="K134" s="103"/>
      <c r="L134" s="105"/>
      <c r="M134" s="105"/>
      <c r="N134" s="107"/>
      <c r="O134" s="105"/>
      <c r="P134" s="263"/>
      <c r="Q134" s="264">
        <f t="shared" si="26"/>
        <v>0</v>
      </c>
      <c r="R134" s="263"/>
      <c r="S134" s="264">
        <f t="shared" si="27"/>
        <v>0</v>
      </c>
      <c r="T134" s="263"/>
      <c r="U134" s="264">
        <f t="shared" si="28"/>
        <v>0</v>
      </c>
      <c r="V134" s="263"/>
      <c r="W134" s="264">
        <f t="shared" si="29"/>
        <v>0</v>
      </c>
      <c r="X134" s="263"/>
      <c r="Y134" s="264">
        <f t="shared" si="30"/>
        <v>0</v>
      </c>
      <c r="Z134" s="263"/>
      <c r="AA134" s="264">
        <f t="shared" si="31"/>
        <v>0</v>
      </c>
      <c r="AB134" s="263"/>
      <c r="AC134" s="264">
        <f t="shared" si="32"/>
        <v>0</v>
      </c>
      <c r="AD134" s="263"/>
      <c r="AE134" s="264">
        <f t="shared" si="33"/>
        <v>0</v>
      </c>
      <c r="AF134" s="263"/>
      <c r="AG134" s="264">
        <f t="shared" si="34"/>
        <v>0</v>
      </c>
      <c r="AH134" s="263"/>
      <c r="AI134" s="264">
        <f t="shared" si="35"/>
        <v>0</v>
      </c>
      <c r="AJ134" s="263"/>
      <c r="AK134" s="264">
        <f t="shared" si="36"/>
        <v>0</v>
      </c>
      <c r="AL134" s="263"/>
      <c r="AM134" s="264">
        <f t="shared" si="37"/>
        <v>0</v>
      </c>
      <c r="AN134" s="267">
        <f t="shared" si="38"/>
        <v>0</v>
      </c>
      <c r="AO134" s="268"/>
      <c r="AP134" s="158"/>
    </row>
    <row r="135" spans="1:42" thickBot="1">
      <c r="A135" s="106"/>
      <c r="B135" s="157"/>
      <c r="C135" s="157"/>
      <c r="D135" s="104"/>
      <c r="E135" s="105"/>
      <c r="F135" s="105"/>
      <c r="G135" s="105"/>
      <c r="H135" s="103"/>
      <c r="I135" s="157"/>
      <c r="J135" s="103"/>
      <c r="K135" s="103"/>
      <c r="L135" s="105"/>
      <c r="M135" s="105"/>
      <c r="N135" s="107"/>
      <c r="O135" s="105"/>
      <c r="P135" s="263"/>
      <c r="Q135" s="264">
        <f t="shared" si="26"/>
        <v>0</v>
      </c>
      <c r="R135" s="263"/>
      <c r="S135" s="264">
        <f t="shared" si="27"/>
        <v>0</v>
      </c>
      <c r="T135" s="263"/>
      <c r="U135" s="264">
        <f t="shared" si="28"/>
        <v>0</v>
      </c>
      <c r="V135" s="263"/>
      <c r="W135" s="264">
        <f t="shared" si="29"/>
        <v>0</v>
      </c>
      <c r="X135" s="263"/>
      <c r="Y135" s="264">
        <f t="shared" si="30"/>
        <v>0</v>
      </c>
      <c r="Z135" s="263"/>
      <c r="AA135" s="264">
        <f t="shared" si="31"/>
        <v>0</v>
      </c>
      <c r="AB135" s="263"/>
      <c r="AC135" s="264">
        <f t="shared" si="32"/>
        <v>0</v>
      </c>
      <c r="AD135" s="263"/>
      <c r="AE135" s="264">
        <f t="shared" si="33"/>
        <v>0</v>
      </c>
      <c r="AF135" s="263"/>
      <c r="AG135" s="264">
        <f t="shared" si="34"/>
        <v>0</v>
      </c>
      <c r="AH135" s="263"/>
      <c r="AI135" s="264">
        <f t="shared" si="35"/>
        <v>0</v>
      </c>
      <c r="AJ135" s="263"/>
      <c r="AK135" s="264">
        <f t="shared" si="36"/>
        <v>0</v>
      </c>
      <c r="AL135" s="263"/>
      <c r="AM135" s="264">
        <f t="shared" si="37"/>
        <v>0</v>
      </c>
      <c r="AN135" s="267">
        <f t="shared" si="38"/>
        <v>0</v>
      </c>
      <c r="AO135" s="268"/>
      <c r="AP135" s="158"/>
    </row>
    <row r="136" spans="1:42" thickBot="1">
      <c r="A136" s="106"/>
      <c r="B136" s="157"/>
      <c r="C136" s="157"/>
      <c r="D136" s="104"/>
      <c r="E136" s="105"/>
      <c r="F136" s="105"/>
      <c r="G136" s="105"/>
      <c r="H136" s="103"/>
      <c r="I136" s="157"/>
      <c r="J136" s="103"/>
      <c r="K136" s="103"/>
      <c r="L136" s="105"/>
      <c r="M136" s="105"/>
      <c r="N136" s="107"/>
      <c r="O136" s="105"/>
      <c r="P136" s="263"/>
      <c r="Q136" s="264">
        <f t="shared" si="26"/>
        <v>0</v>
      </c>
      <c r="R136" s="263"/>
      <c r="S136" s="264">
        <f t="shared" si="27"/>
        <v>0</v>
      </c>
      <c r="T136" s="263"/>
      <c r="U136" s="264">
        <f t="shared" si="28"/>
        <v>0</v>
      </c>
      <c r="V136" s="263"/>
      <c r="W136" s="264">
        <f t="shared" si="29"/>
        <v>0</v>
      </c>
      <c r="X136" s="263"/>
      <c r="Y136" s="264">
        <f t="shared" si="30"/>
        <v>0</v>
      </c>
      <c r="Z136" s="263"/>
      <c r="AA136" s="264">
        <f t="shared" si="31"/>
        <v>0</v>
      </c>
      <c r="AB136" s="263"/>
      <c r="AC136" s="264">
        <f t="shared" si="32"/>
        <v>0</v>
      </c>
      <c r="AD136" s="263"/>
      <c r="AE136" s="264">
        <f t="shared" si="33"/>
        <v>0</v>
      </c>
      <c r="AF136" s="263"/>
      <c r="AG136" s="264">
        <f t="shared" si="34"/>
        <v>0</v>
      </c>
      <c r="AH136" s="263"/>
      <c r="AI136" s="264">
        <f t="shared" si="35"/>
        <v>0</v>
      </c>
      <c r="AJ136" s="263"/>
      <c r="AK136" s="264">
        <f t="shared" si="36"/>
        <v>0</v>
      </c>
      <c r="AL136" s="263"/>
      <c r="AM136" s="264">
        <f t="shared" si="37"/>
        <v>0</v>
      </c>
      <c r="AN136" s="267">
        <f t="shared" si="38"/>
        <v>0</v>
      </c>
      <c r="AO136" s="268"/>
      <c r="AP136" s="158"/>
    </row>
    <row r="137" spans="1:42" thickBot="1">
      <c r="A137" s="106"/>
      <c r="B137" s="157"/>
      <c r="C137" s="157"/>
      <c r="D137" s="104"/>
      <c r="E137" s="105"/>
      <c r="F137" s="105"/>
      <c r="G137" s="105"/>
      <c r="H137" s="103"/>
      <c r="I137" s="157"/>
      <c r="J137" s="103"/>
      <c r="K137" s="103"/>
      <c r="L137" s="105"/>
      <c r="M137" s="105"/>
      <c r="N137" s="107"/>
      <c r="O137" s="105"/>
      <c r="P137" s="263"/>
      <c r="Q137" s="264">
        <f t="shared" si="26"/>
        <v>0</v>
      </c>
      <c r="R137" s="263"/>
      <c r="S137" s="264">
        <f t="shared" si="27"/>
        <v>0</v>
      </c>
      <c r="T137" s="263"/>
      <c r="U137" s="264">
        <f t="shared" si="28"/>
        <v>0</v>
      </c>
      <c r="V137" s="263"/>
      <c r="W137" s="264">
        <f t="shared" si="29"/>
        <v>0</v>
      </c>
      <c r="X137" s="263"/>
      <c r="Y137" s="264">
        <f t="shared" si="30"/>
        <v>0</v>
      </c>
      <c r="Z137" s="263"/>
      <c r="AA137" s="264">
        <f t="shared" si="31"/>
        <v>0</v>
      </c>
      <c r="AB137" s="263"/>
      <c r="AC137" s="264">
        <f t="shared" si="32"/>
        <v>0</v>
      </c>
      <c r="AD137" s="263"/>
      <c r="AE137" s="264">
        <f t="shared" si="33"/>
        <v>0</v>
      </c>
      <c r="AF137" s="263"/>
      <c r="AG137" s="264">
        <f t="shared" si="34"/>
        <v>0</v>
      </c>
      <c r="AH137" s="263"/>
      <c r="AI137" s="264">
        <f t="shared" si="35"/>
        <v>0</v>
      </c>
      <c r="AJ137" s="263"/>
      <c r="AK137" s="264">
        <f t="shared" si="36"/>
        <v>0</v>
      </c>
      <c r="AL137" s="263"/>
      <c r="AM137" s="264">
        <f t="shared" si="37"/>
        <v>0</v>
      </c>
      <c r="AN137" s="267">
        <f t="shared" si="38"/>
        <v>0</v>
      </c>
      <c r="AO137" s="268"/>
      <c r="AP137" s="158"/>
    </row>
    <row r="138" spans="1:42" thickBot="1">
      <c r="A138" s="106"/>
      <c r="B138" s="157"/>
      <c r="C138" s="157"/>
      <c r="D138" s="104"/>
      <c r="E138" s="105"/>
      <c r="F138" s="105"/>
      <c r="G138" s="105"/>
      <c r="H138" s="103"/>
      <c r="I138" s="157"/>
      <c r="J138" s="103"/>
      <c r="K138" s="103"/>
      <c r="L138" s="105"/>
      <c r="M138" s="105"/>
      <c r="N138" s="107"/>
      <c r="O138" s="105"/>
      <c r="P138" s="263"/>
      <c r="Q138" s="264">
        <f t="shared" si="26"/>
        <v>0</v>
      </c>
      <c r="R138" s="263"/>
      <c r="S138" s="264">
        <f t="shared" si="27"/>
        <v>0</v>
      </c>
      <c r="T138" s="263"/>
      <c r="U138" s="264">
        <f t="shared" si="28"/>
        <v>0</v>
      </c>
      <c r="V138" s="263"/>
      <c r="W138" s="264">
        <f t="shared" si="29"/>
        <v>0</v>
      </c>
      <c r="X138" s="263"/>
      <c r="Y138" s="264">
        <f t="shared" si="30"/>
        <v>0</v>
      </c>
      <c r="Z138" s="263"/>
      <c r="AA138" s="264">
        <f t="shared" si="31"/>
        <v>0</v>
      </c>
      <c r="AB138" s="263"/>
      <c r="AC138" s="264">
        <f t="shared" si="32"/>
        <v>0</v>
      </c>
      <c r="AD138" s="263"/>
      <c r="AE138" s="264">
        <f t="shared" si="33"/>
        <v>0</v>
      </c>
      <c r="AF138" s="263"/>
      <c r="AG138" s="264">
        <f t="shared" si="34"/>
        <v>0</v>
      </c>
      <c r="AH138" s="263"/>
      <c r="AI138" s="264">
        <f t="shared" si="35"/>
        <v>0</v>
      </c>
      <c r="AJ138" s="263"/>
      <c r="AK138" s="264">
        <f t="shared" si="36"/>
        <v>0</v>
      </c>
      <c r="AL138" s="263"/>
      <c r="AM138" s="264">
        <f t="shared" si="37"/>
        <v>0</v>
      </c>
      <c r="AN138" s="267">
        <f t="shared" si="38"/>
        <v>0</v>
      </c>
      <c r="AO138" s="268"/>
      <c r="AP138" s="158"/>
    </row>
    <row r="139" spans="1:42" thickBot="1">
      <c r="A139" s="106"/>
      <c r="B139" s="157"/>
      <c r="C139" s="157"/>
      <c r="D139" s="104"/>
      <c r="E139" s="105"/>
      <c r="F139" s="105"/>
      <c r="G139" s="105"/>
      <c r="H139" s="103"/>
      <c r="I139" s="157"/>
      <c r="J139" s="103"/>
      <c r="K139" s="103"/>
      <c r="L139" s="105"/>
      <c r="M139" s="105"/>
      <c r="N139" s="107"/>
      <c r="O139" s="105"/>
      <c r="P139" s="263"/>
      <c r="Q139" s="264">
        <f t="shared" si="26"/>
        <v>0</v>
      </c>
      <c r="R139" s="263"/>
      <c r="S139" s="264">
        <f t="shared" si="27"/>
        <v>0</v>
      </c>
      <c r="T139" s="263"/>
      <c r="U139" s="264">
        <f t="shared" si="28"/>
        <v>0</v>
      </c>
      <c r="V139" s="263"/>
      <c r="W139" s="264">
        <f t="shared" si="29"/>
        <v>0</v>
      </c>
      <c r="X139" s="263"/>
      <c r="Y139" s="264">
        <f t="shared" si="30"/>
        <v>0</v>
      </c>
      <c r="Z139" s="263"/>
      <c r="AA139" s="264">
        <f t="shared" si="31"/>
        <v>0</v>
      </c>
      <c r="AB139" s="263"/>
      <c r="AC139" s="264">
        <f t="shared" si="32"/>
        <v>0</v>
      </c>
      <c r="AD139" s="263"/>
      <c r="AE139" s="264">
        <f t="shared" si="33"/>
        <v>0</v>
      </c>
      <c r="AF139" s="263"/>
      <c r="AG139" s="264">
        <f t="shared" si="34"/>
        <v>0</v>
      </c>
      <c r="AH139" s="263"/>
      <c r="AI139" s="264">
        <f t="shared" si="35"/>
        <v>0</v>
      </c>
      <c r="AJ139" s="263"/>
      <c r="AK139" s="264">
        <f t="shared" si="36"/>
        <v>0</v>
      </c>
      <c r="AL139" s="263"/>
      <c r="AM139" s="264">
        <f t="shared" si="37"/>
        <v>0</v>
      </c>
      <c r="AN139" s="267">
        <f t="shared" si="38"/>
        <v>0</v>
      </c>
      <c r="AO139" s="268"/>
      <c r="AP139" s="158"/>
    </row>
    <row r="140" spans="1:42" thickBot="1">
      <c r="A140" s="106"/>
      <c r="B140" s="157"/>
      <c r="C140" s="157"/>
      <c r="D140" s="104"/>
      <c r="E140" s="105"/>
      <c r="F140" s="105"/>
      <c r="G140" s="105"/>
      <c r="H140" s="103"/>
      <c r="I140" s="157"/>
      <c r="J140" s="103"/>
      <c r="K140" s="103"/>
      <c r="L140" s="105"/>
      <c r="M140" s="105"/>
      <c r="N140" s="107"/>
      <c r="O140" s="105"/>
      <c r="P140" s="263"/>
      <c r="Q140" s="264">
        <f t="shared" si="26"/>
        <v>0</v>
      </c>
      <c r="R140" s="263"/>
      <c r="S140" s="264">
        <f t="shared" si="27"/>
        <v>0</v>
      </c>
      <c r="T140" s="263"/>
      <c r="U140" s="264">
        <f t="shared" si="28"/>
        <v>0</v>
      </c>
      <c r="V140" s="263"/>
      <c r="W140" s="264">
        <f t="shared" si="29"/>
        <v>0</v>
      </c>
      <c r="X140" s="263"/>
      <c r="Y140" s="264">
        <f t="shared" si="30"/>
        <v>0</v>
      </c>
      <c r="Z140" s="263"/>
      <c r="AA140" s="264">
        <f t="shared" si="31"/>
        <v>0</v>
      </c>
      <c r="AB140" s="263"/>
      <c r="AC140" s="264">
        <f t="shared" si="32"/>
        <v>0</v>
      </c>
      <c r="AD140" s="263"/>
      <c r="AE140" s="264">
        <f t="shared" si="33"/>
        <v>0</v>
      </c>
      <c r="AF140" s="263"/>
      <c r="AG140" s="264">
        <f t="shared" si="34"/>
        <v>0</v>
      </c>
      <c r="AH140" s="263"/>
      <c r="AI140" s="264">
        <f t="shared" si="35"/>
        <v>0</v>
      </c>
      <c r="AJ140" s="263"/>
      <c r="AK140" s="264">
        <f t="shared" si="36"/>
        <v>0</v>
      </c>
      <c r="AL140" s="263"/>
      <c r="AM140" s="264">
        <f t="shared" si="37"/>
        <v>0</v>
      </c>
      <c r="AN140" s="267">
        <f t="shared" si="38"/>
        <v>0</v>
      </c>
      <c r="AO140" s="268"/>
      <c r="AP140" s="158"/>
    </row>
    <row r="141" spans="1:42" thickBot="1">
      <c r="A141" s="106"/>
      <c r="B141" s="157"/>
      <c r="C141" s="157"/>
      <c r="D141" s="104"/>
      <c r="E141" s="105"/>
      <c r="F141" s="105"/>
      <c r="G141" s="105"/>
      <c r="H141" s="103"/>
      <c r="I141" s="157"/>
      <c r="J141" s="103"/>
      <c r="K141" s="103"/>
      <c r="L141" s="105"/>
      <c r="M141" s="105"/>
      <c r="N141" s="107"/>
      <c r="O141" s="105"/>
      <c r="P141" s="263"/>
      <c r="Q141" s="264">
        <f t="shared" si="26"/>
        <v>0</v>
      </c>
      <c r="R141" s="263"/>
      <c r="S141" s="264">
        <f t="shared" si="27"/>
        <v>0</v>
      </c>
      <c r="T141" s="263"/>
      <c r="U141" s="264">
        <f t="shared" si="28"/>
        <v>0</v>
      </c>
      <c r="V141" s="263"/>
      <c r="W141" s="264">
        <f t="shared" si="29"/>
        <v>0</v>
      </c>
      <c r="X141" s="263"/>
      <c r="Y141" s="264">
        <f t="shared" si="30"/>
        <v>0</v>
      </c>
      <c r="Z141" s="263"/>
      <c r="AA141" s="264">
        <f t="shared" si="31"/>
        <v>0</v>
      </c>
      <c r="AB141" s="263"/>
      <c r="AC141" s="264">
        <f t="shared" si="32"/>
        <v>0</v>
      </c>
      <c r="AD141" s="263"/>
      <c r="AE141" s="264">
        <f t="shared" si="33"/>
        <v>0</v>
      </c>
      <c r="AF141" s="263"/>
      <c r="AG141" s="264">
        <f t="shared" si="34"/>
        <v>0</v>
      </c>
      <c r="AH141" s="263"/>
      <c r="AI141" s="264">
        <f t="shared" si="35"/>
        <v>0</v>
      </c>
      <c r="AJ141" s="263"/>
      <c r="AK141" s="264">
        <f t="shared" si="36"/>
        <v>0</v>
      </c>
      <c r="AL141" s="263"/>
      <c r="AM141" s="264">
        <f t="shared" si="37"/>
        <v>0</v>
      </c>
      <c r="AN141" s="267">
        <f t="shared" si="38"/>
        <v>0</v>
      </c>
      <c r="AO141" s="268"/>
      <c r="AP141" s="158"/>
    </row>
    <row r="142" spans="1:42" thickBot="1">
      <c r="A142" s="106"/>
      <c r="B142" s="157"/>
      <c r="C142" s="157"/>
      <c r="D142" s="104"/>
      <c r="E142" s="105"/>
      <c r="F142" s="105"/>
      <c r="G142" s="105"/>
      <c r="H142" s="103"/>
      <c r="I142" s="157"/>
      <c r="J142" s="103"/>
      <c r="K142" s="103"/>
      <c r="L142" s="105"/>
      <c r="M142" s="105"/>
      <c r="N142" s="107"/>
      <c r="O142" s="105"/>
      <c r="P142" s="263"/>
      <c r="Q142" s="264">
        <f t="shared" ref="Q142:Q205" si="39">A142*P142</f>
        <v>0</v>
      </c>
      <c r="R142" s="263"/>
      <c r="S142" s="264">
        <f t="shared" ref="S142:S205" si="40">R142*A142</f>
        <v>0</v>
      </c>
      <c r="T142" s="263"/>
      <c r="U142" s="264">
        <f t="shared" ref="U142:U205" si="41">A142*T142</f>
        <v>0</v>
      </c>
      <c r="V142" s="263"/>
      <c r="W142" s="264">
        <f t="shared" ref="W142:W205" si="42">$A142*V142</f>
        <v>0</v>
      </c>
      <c r="X142" s="263"/>
      <c r="Y142" s="264">
        <f t="shared" ref="Y142:Y205" si="43">$A142*X142</f>
        <v>0</v>
      </c>
      <c r="Z142" s="263"/>
      <c r="AA142" s="264">
        <f t="shared" ref="AA142:AA205" si="44">$A142*Z142</f>
        <v>0</v>
      </c>
      <c r="AB142" s="263"/>
      <c r="AC142" s="264">
        <f t="shared" ref="AC142:AC205" si="45">$A142*AB142</f>
        <v>0</v>
      </c>
      <c r="AD142" s="263"/>
      <c r="AE142" s="264">
        <f t="shared" ref="AE142:AE205" si="46">$A142*AD142</f>
        <v>0</v>
      </c>
      <c r="AF142" s="263"/>
      <c r="AG142" s="264">
        <f t="shared" ref="AG142:AG205" si="47">$A142*AF142</f>
        <v>0</v>
      </c>
      <c r="AH142" s="263"/>
      <c r="AI142" s="264">
        <f t="shared" ref="AI142:AI205" si="48">$A142*AH142</f>
        <v>0</v>
      </c>
      <c r="AJ142" s="263"/>
      <c r="AK142" s="264">
        <f t="shared" ref="AK142:AK205" si="49">$A142*AJ142</f>
        <v>0</v>
      </c>
      <c r="AL142" s="263"/>
      <c r="AM142" s="264">
        <f t="shared" ref="AM142:AM205" si="50">$A142*AL142</f>
        <v>0</v>
      </c>
      <c r="AN142" s="267">
        <f t="shared" ref="AN142:AN205" si="51">SUM(Q142+S142+U142+W142+Y142+AA142+AC142+AE142+AG142+AI142+AK142+AM142)</f>
        <v>0</v>
      </c>
      <c r="AO142" s="268"/>
      <c r="AP142" s="158"/>
    </row>
    <row r="143" spans="1:42" thickBot="1">
      <c r="A143" s="106"/>
      <c r="B143" s="157"/>
      <c r="C143" s="157"/>
      <c r="D143" s="104"/>
      <c r="E143" s="105"/>
      <c r="F143" s="105"/>
      <c r="G143" s="105"/>
      <c r="H143" s="103"/>
      <c r="I143" s="157"/>
      <c r="J143" s="103"/>
      <c r="K143" s="103"/>
      <c r="L143" s="105"/>
      <c r="M143" s="105"/>
      <c r="N143" s="107"/>
      <c r="O143" s="105"/>
      <c r="P143" s="263"/>
      <c r="Q143" s="264">
        <f t="shared" si="39"/>
        <v>0</v>
      </c>
      <c r="R143" s="263"/>
      <c r="S143" s="264">
        <f t="shared" si="40"/>
        <v>0</v>
      </c>
      <c r="T143" s="263"/>
      <c r="U143" s="264">
        <f t="shared" si="41"/>
        <v>0</v>
      </c>
      <c r="V143" s="263"/>
      <c r="W143" s="264">
        <f t="shared" si="42"/>
        <v>0</v>
      </c>
      <c r="X143" s="263"/>
      <c r="Y143" s="264">
        <f t="shared" si="43"/>
        <v>0</v>
      </c>
      <c r="Z143" s="263"/>
      <c r="AA143" s="264">
        <f t="shared" si="44"/>
        <v>0</v>
      </c>
      <c r="AB143" s="263"/>
      <c r="AC143" s="264">
        <f t="shared" si="45"/>
        <v>0</v>
      </c>
      <c r="AD143" s="263"/>
      <c r="AE143" s="264">
        <f t="shared" si="46"/>
        <v>0</v>
      </c>
      <c r="AF143" s="263"/>
      <c r="AG143" s="264">
        <f t="shared" si="47"/>
        <v>0</v>
      </c>
      <c r="AH143" s="263"/>
      <c r="AI143" s="264">
        <f t="shared" si="48"/>
        <v>0</v>
      </c>
      <c r="AJ143" s="263"/>
      <c r="AK143" s="264">
        <f t="shared" si="49"/>
        <v>0</v>
      </c>
      <c r="AL143" s="263"/>
      <c r="AM143" s="264">
        <f t="shared" si="50"/>
        <v>0</v>
      </c>
      <c r="AN143" s="267">
        <f t="shared" si="51"/>
        <v>0</v>
      </c>
      <c r="AO143" s="268"/>
      <c r="AP143" s="158"/>
    </row>
    <row r="144" spans="1:42" thickBot="1">
      <c r="A144" s="106"/>
      <c r="B144" s="157"/>
      <c r="C144" s="157"/>
      <c r="D144" s="104"/>
      <c r="E144" s="105"/>
      <c r="F144" s="105"/>
      <c r="G144" s="105"/>
      <c r="H144" s="103"/>
      <c r="I144" s="157"/>
      <c r="J144" s="103"/>
      <c r="K144" s="103"/>
      <c r="L144" s="105"/>
      <c r="M144" s="105"/>
      <c r="N144" s="107"/>
      <c r="O144" s="105"/>
      <c r="P144" s="263"/>
      <c r="Q144" s="264">
        <f t="shared" si="39"/>
        <v>0</v>
      </c>
      <c r="R144" s="263"/>
      <c r="S144" s="264">
        <f t="shared" si="40"/>
        <v>0</v>
      </c>
      <c r="T144" s="263"/>
      <c r="U144" s="264">
        <f t="shared" si="41"/>
        <v>0</v>
      </c>
      <c r="V144" s="263"/>
      <c r="W144" s="264">
        <f t="shared" si="42"/>
        <v>0</v>
      </c>
      <c r="X144" s="263"/>
      <c r="Y144" s="264">
        <f t="shared" si="43"/>
        <v>0</v>
      </c>
      <c r="Z144" s="263"/>
      <c r="AA144" s="264">
        <f t="shared" si="44"/>
        <v>0</v>
      </c>
      <c r="AB144" s="263"/>
      <c r="AC144" s="264">
        <f t="shared" si="45"/>
        <v>0</v>
      </c>
      <c r="AD144" s="263"/>
      <c r="AE144" s="264">
        <f t="shared" si="46"/>
        <v>0</v>
      </c>
      <c r="AF144" s="263"/>
      <c r="AG144" s="264">
        <f t="shared" si="47"/>
        <v>0</v>
      </c>
      <c r="AH144" s="263"/>
      <c r="AI144" s="264">
        <f t="shared" si="48"/>
        <v>0</v>
      </c>
      <c r="AJ144" s="263"/>
      <c r="AK144" s="264">
        <f t="shared" si="49"/>
        <v>0</v>
      </c>
      <c r="AL144" s="263"/>
      <c r="AM144" s="264">
        <f t="shared" si="50"/>
        <v>0</v>
      </c>
      <c r="AN144" s="267">
        <f t="shared" si="51"/>
        <v>0</v>
      </c>
      <c r="AO144" s="268"/>
      <c r="AP144" s="158"/>
    </row>
    <row r="145" spans="1:42" thickBot="1">
      <c r="A145" s="106"/>
      <c r="B145" s="157"/>
      <c r="C145" s="157"/>
      <c r="D145" s="104"/>
      <c r="E145" s="105"/>
      <c r="F145" s="105"/>
      <c r="G145" s="105"/>
      <c r="H145" s="103"/>
      <c r="I145" s="157"/>
      <c r="J145" s="103"/>
      <c r="K145" s="103"/>
      <c r="L145" s="105"/>
      <c r="M145" s="105"/>
      <c r="N145" s="107"/>
      <c r="O145" s="105"/>
      <c r="P145" s="263"/>
      <c r="Q145" s="264">
        <f t="shared" si="39"/>
        <v>0</v>
      </c>
      <c r="R145" s="263"/>
      <c r="S145" s="264">
        <f t="shared" si="40"/>
        <v>0</v>
      </c>
      <c r="T145" s="263"/>
      <c r="U145" s="264">
        <f t="shared" si="41"/>
        <v>0</v>
      </c>
      <c r="V145" s="263"/>
      <c r="W145" s="264">
        <f t="shared" si="42"/>
        <v>0</v>
      </c>
      <c r="X145" s="263"/>
      <c r="Y145" s="264">
        <f t="shared" si="43"/>
        <v>0</v>
      </c>
      <c r="Z145" s="263"/>
      <c r="AA145" s="264">
        <f t="shared" si="44"/>
        <v>0</v>
      </c>
      <c r="AB145" s="263"/>
      <c r="AC145" s="264">
        <f t="shared" si="45"/>
        <v>0</v>
      </c>
      <c r="AD145" s="263"/>
      <c r="AE145" s="264">
        <f t="shared" si="46"/>
        <v>0</v>
      </c>
      <c r="AF145" s="263"/>
      <c r="AG145" s="264">
        <f t="shared" si="47"/>
        <v>0</v>
      </c>
      <c r="AH145" s="263"/>
      <c r="AI145" s="264">
        <f t="shared" si="48"/>
        <v>0</v>
      </c>
      <c r="AJ145" s="263"/>
      <c r="AK145" s="264">
        <f t="shared" si="49"/>
        <v>0</v>
      </c>
      <c r="AL145" s="263"/>
      <c r="AM145" s="264">
        <f t="shared" si="50"/>
        <v>0</v>
      </c>
      <c r="AN145" s="267">
        <f t="shared" si="51"/>
        <v>0</v>
      </c>
      <c r="AO145" s="268"/>
      <c r="AP145" s="158"/>
    </row>
    <row r="146" spans="1:42" thickBot="1">
      <c r="A146" s="106"/>
      <c r="B146" s="157"/>
      <c r="C146" s="157"/>
      <c r="D146" s="104"/>
      <c r="E146" s="105"/>
      <c r="F146" s="105"/>
      <c r="G146" s="105"/>
      <c r="H146" s="103"/>
      <c r="I146" s="157"/>
      <c r="J146" s="103"/>
      <c r="K146" s="103"/>
      <c r="L146" s="105"/>
      <c r="M146" s="105"/>
      <c r="N146" s="107"/>
      <c r="O146" s="105"/>
      <c r="P146" s="263"/>
      <c r="Q146" s="264">
        <f t="shared" si="39"/>
        <v>0</v>
      </c>
      <c r="R146" s="263"/>
      <c r="S146" s="264">
        <f t="shared" si="40"/>
        <v>0</v>
      </c>
      <c r="T146" s="263"/>
      <c r="U146" s="264">
        <f t="shared" si="41"/>
        <v>0</v>
      </c>
      <c r="V146" s="263"/>
      <c r="W146" s="264">
        <f t="shared" si="42"/>
        <v>0</v>
      </c>
      <c r="X146" s="263"/>
      <c r="Y146" s="264">
        <f t="shared" si="43"/>
        <v>0</v>
      </c>
      <c r="Z146" s="263"/>
      <c r="AA146" s="264">
        <f t="shared" si="44"/>
        <v>0</v>
      </c>
      <c r="AB146" s="263"/>
      <c r="AC146" s="264">
        <f t="shared" si="45"/>
        <v>0</v>
      </c>
      <c r="AD146" s="263"/>
      <c r="AE146" s="264">
        <f t="shared" si="46"/>
        <v>0</v>
      </c>
      <c r="AF146" s="263"/>
      <c r="AG146" s="264">
        <f t="shared" si="47"/>
        <v>0</v>
      </c>
      <c r="AH146" s="263"/>
      <c r="AI146" s="264">
        <f t="shared" si="48"/>
        <v>0</v>
      </c>
      <c r="AJ146" s="263"/>
      <c r="AK146" s="264">
        <f t="shared" si="49"/>
        <v>0</v>
      </c>
      <c r="AL146" s="263"/>
      <c r="AM146" s="264">
        <f t="shared" si="50"/>
        <v>0</v>
      </c>
      <c r="AN146" s="267">
        <f t="shared" si="51"/>
        <v>0</v>
      </c>
      <c r="AO146" s="268"/>
      <c r="AP146" s="158"/>
    </row>
    <row r="147" spans="1:42" thickBot="1">
      <c r="A147" s="106"/>
      <c r="B147" s="157"/>
      <c r="C147" s="157"/>
      <c r="D147" s="104"/>
      <c r="E147" s="105"/>
      <c r="F147" s="105"/>
      <c r="G147" s="105"/>
      <c r="H147" s="103"/>
      <c r="I147" s="157"/>
      <c r="J147" s="103"/>
      <c r="K147" s="103"/>
      <c r="L147" s="105"/>
      <c r="M147" s="105"/>
      <c r="N147" s="107"/>
      <c r="O147" s="105"/>
      <c r="P147" s="263"/>
      <c r="Q147" s="264">
        <f t="shared" si="39"/>
        <v>0</v>
      </c>
      <c r="R147" s="263"/>
      <c r="S147" s="264">
        <f t="shared" si="40"/>
        <v>0</v>
      </c>
      <c r="T147" s="263"/>
      <c r="U147" s="264">
        <f t="shared" si="41"/>
        <v>0</v>
      </c>
      <c r="V147" s="263"/>
      <c r="W147" s="264">
        <f t="shared" si="42"/>
        <v>0</v>
      </c>
      <c r="X147" s="263"/>
      <c r="Y147" s="264">
        <f t="shared" si="43"/>
        <v>0</v>
      </c>
      <c r="Z147" s="263"/>
      <c r="AA147" s="264">
        <f t="shared" si="44"/>
        <v>0</v>
      </c>
      <c r="AB147" s="263"/>
      <c r="AC147" s="264">
        <f t="shared" si="45"/>
        <v>0</v>
      </c>
      <c r="AD147" s="263"/>
      <c r="AE147" s="264">
        <f t="shared" si="46"/>
        <v>0</v>
      </c>
      <c r="AF147" s="263"/>
      <c r="AG147" s="264">
        <f t="shared" si="47"/>
        <v>0</v>
      </c>
      <c r="AH147" s="263"/>
      <c r="AI147" s="264">
        <f t="shared" si="48"/>
        <v>0</v>
      </c>
      <c r="AJ147" s="263"/>
      <c r="AK147" s="264">
        <f t="shared" si="49"/>
        <v>0</v>
      </c>
      <c r="AL147" s="263"/>
      <c r="AM147" s="264">
        <f t="shared" si="50"/>
        <v>0</v>
      </c>
      <c r="AN147" s="267">
        <f t="shared" si="51"/>
        <v>0</v>
      </c>
      <c r="AO147" s="268"/>
      <c r="AP147" s="158"/>
    </row>
    <row r="148" spans="1:42" thickBot="1">
      <c r="A148" s="106"/>
      <c r="B148" s="157"/>
      <c r="C148" s="157"/>
      <c r="D148" s="104"/>
      <c r="E148" s="105"/>
      <c r="F148" s="105"/>
      <c r="G148" s="105"/>
      <c r="H148" s="103"/>
      <c r="I148" s="157"/>
      <c r="J148" s="103"/>
      <c r="K148" s="103"/>
      <c r="L148" s="105"/>
      <c r="M148" s="105"/>
      <c r="N148" s="107"/>
      <c r="O148" s="105"/>
      <c r="P148" s="263"/>
      <c r="Q148" s="264">
        <f t="shared" si="39"/>
        <v>0</v>
      </c>
      <c r="R148" s="263"/>
      <c r="S148" s="264">
        <f t="shared" si="40"/>
        <v>0</v>
      </c>
      <c r="T148" s="263"/>
      <c r="U148" s="264">
        <f t="shared" si="41"/>
        <v>0</v>
      </c>
      <c r="V148" s="263"/>
      <c r="W148" s="264">
        <f t="shared" si="42"/>
        <v>0</v>
      </c>
      <c r="X148" s="263"/>
      <c r="Y148" s="264">
        <f t="shared" si="43"/>
        <v>0</v>
      </c>
      <c r="Z148" s="263"/>
      <c r="AA148" s="264">
        <f t="shared" si="44"/>
        <v>0</v>
      </c>
      <c r="AB148" s="263"/>
      <c r="AC148" s="264">
        <f t="shared" si="45"/>
        <v>0</v>
      </c>
      <c r="AD148" s="263"/>
      <c r="AE148" s="264">
        <f t="shared" si="46"/>
        <v>0</v>
      </c>
      <c r="AF148" s="263"/>
      <c r="AG148" s="264">
        <f t="shared" si="47"/>
        <v>0</v>
      </c>
      <c r="AH148" s="263"/>
      <c r="AI148" s="264">
        <f t="shared" si="48"/>
        <v>0</v>
      </c>
      <c r="AJ148" s="263"/>
      <c r="AK148" s="264">
        <f t="shared" si="49"/>
        <v>0</v>
      </c>
      <c r="AL148" s="263"/>
      <c r="AM148" s="264">
        <f t="shared" si="50"/>
        <v>0</v>
      </c>
      <c r="AN148" s="267">
        <f t="shared" si="51"/>
        <v>0</v>
      </c>
      <c r="AO148" s="268"/>
      <c r="AP148" s="158"/>
    </row>
    <row r="149" spans="1:42" thickBot="1">
      <c r="A149" s="106"/>
      <c r="B149" s="157"/>
      <c r="C149" s="157"/>
      <c r="D149" s="104"/>
      <c r="E149" s="105"/>
      <c r="F149" s="105"/>
      <c r="G149" s="105"/>
      <c r="H149" s="103"/>
      <c r="I149" s="157"/>
      <c r="J149" s="103"/>
      <c r="K149" s="103"/>
      <c r="L149" s="105"/>
      <c r="M149" s="105"/>
      <c r="N149" s="107"/>
      <c r="O149" s="105"/>
      <c r="P149" s="263"/>
      <c r="Q149" s="264">
        <f t="shared" si="39"/>
        <v>0</v>
      </c>
      <c r="R149" s="263"/>
      <c r="S149" s="264">
        <f t="shared" si="40"/>
        <v>0</v>
      </c>
      <c r="T149" s="263"/>
      <c r="U149" s="264">
        <f t="shared" si="41"/>
        <v>0</v>
      </c>
      <c r="V149" s="263"/>
      <c r="W149" s="264">
        <f t="shared" si="42"/>
        <v>0</v>
      </c>
      <c r="X149" s="263"/>
      <c r="Y149" s="264">
        <f t="shared" si="43"/>
        <v>0</v>
      </c>
      <c r="Z149" s="263"/>
      <c r="AA149" s="264">
        <f t="shared" si="44"/>
        <v>0</v>
      </c>
      <c r="AB149" s="263"/>
      <c r="AC149" s="264">
        <f t="shared" si="45"/>
        <v>0</v>
      </c>
      <c r="AD149" s="263"/>
      <c r="AE149" s="264">
        <f t="shared" si="46"/>
        <v>0</v>
      </c>
      <c r="AF149" s="263"/>
      <c r="AG149" s="264">
        <f t="shared" si="47"/>
        <v>0</v>
      </c>
      <c r="AH149" s="263"/>
      <c r="AI149" s="264">
        <f t="shared" si="48"/>
        <v>0</v>
      </c>
      <c r="AJ149" s="263"/>
      <c r="AK149" s="264">
        <f t="shared" si="49"/>
        <v>0</v>
      </c>
      <c r="AL149" s="263"/>
      <c r="AM149" s="264">
        <f t="shared" si="50"/>
        <v>0</v>
      </c>
      <c r="AN149" s="267">
        <f t="shared" si="51"/>
        <v>0</v>
      </c>
      <c r="AO149" s="268"/>
      <c r="AP149" s="158"/>
    </row>
    <row r="150" spans="1:42" thickBot="1">
      <c r="A150" s="106"/>
      <c r="B150" s="157"/>
      <c r="C150" s="157"/>
      <c r="D150" s="104"/>
      <c r="E150" s="105"/>
      <c r="F150" s="105"/>
      <c r="G150" s="105"/>
      <c r="H150" s="103"/>
      <c r="I150" s="157"/>
      <c r="J150" s="103"/>
      <c r="K150" s="103"/>
      <c r="L150" s="105"/>
      <c r="M150" s="105"/>
      <c r="N150" s="107"/>
      <c r="O150" s="105"/>
      <c r="P150" s="263"/>
      <c r="Q150" s="264">
        <f t="shared" si="39"/>
        <v>0</v>
      </c>
      <c r="R150" s="263"/>
      <c r="S150" s="264">
        <f t="shared" si="40"/>
        <v>0</v>
      </c>
      <c r="T150" s="263"/>
      <c r="U150" s="264">
        <f t="shared" si="41"/>
        <v>0</v>
      </c>
      <c r="V150" s="263"/>
      <c r="W150" s="264">
        <f t="shared" si="42"/>
        <v>0</v>
      </c>
      <c r="X150" s="263"/>
      <c r="Y150" s="264">
        <f t="shared" si="43"/>
        <v>0</v>
      </c>
      <c r="Z150" s="263"/>
      <c r="AA150" s="264">
        <f t="shared" si="44"/>
        <v>0</v>
      </c>
      <c r="AB150" s="263"/>
      <c r="AC150" s="264">
        <f t="shared" si="45"/>
        <v>0</v>
      </c>
      <c r="AD150" s="263"/>
      <c r="AE150" s="264">
        <f t="shared" si="46"/>
        <v>0</v>
      </c>
      <c r="AF150" s="263"/>
      <c r="AG150" s="264">
        <f t="shared" si="47"/>
        <v>0</v>
      </c>
      <c r="AH150" s="263"/>
      <c r="AI150" s="264">
        <f t="shared" si="48"/>
        <v>0</v>
      </c>
      <c r="AJ150" s="263"/>
      <c r="AK150" s="264">
        <f t="shared" si="49"/>
        <v>0</v>
      </c>
      <c r="AL150" s="263"/>
      <c r="AM150" s="264">
        <f t="shared" si="50"/>
        <v>0</v>
      </c>
      <c r="AN150" s="267">
        <f t="shared" si="51"/>
        <v>0</v>
      </c>
      <c r="AO150" s="268"/>
      <c r="AP150" s="158"/>
    </row>
    <row r="151" spans="1:42" thickBot="1">
      <c r="A151" s="106"/>
      <c r="B151" s="157"/>
      <c r="C151" s="157"/>
      <c r="D151" s="104"/>
      <c r="E151" s="105"/>
      <c r="F151" s="105"/>
      <c r="G151" s="105"/>
      <c r="H151" s="103"/>
      <c r="I151" s="157"/>
      <c r="J151" s="103"/>
      <c r="K151" s="103"/>
      <c r="L151" s="105"/>
      <c r="M151" s="105"/>
      <c r="N151" s="107"/>
      <c r="O151" s="105"/>
      <c r="P151" s="263"/>
      <c r="Q151" s="264">
        <f t="shared" si="39"/>
        <v>0</v>
      </c>
      <c r="R151" s="263"/>
      <c r="S151" s="264">
        <f t="shared" si="40"/>
        <v>0</v>
      </c>
      <c r="T151" s="263"/>
      <c r="U151" s="264">
        <f t="shared" si="41"/>
        <v>0</v>
      </c>
      <c r="V151" s="263"/>
      <c r="W151" s="264">
        <f t="shared" si="42"/>
        <v>0</v>
      </c>
      <c r="X151" s="263"/>
      <c r="Y151" s="264">
        <f t="shared" si="43"/>
        <v>0</v>
      </c>
      <c r="Z151" s="263"/>
      <c r="AA151" s="264">
        <f t="shared" si="44"/>
        <v>0</v>
      </c>
      <c r="AB151" s="263"/>
      <c r="AC151" s="264">
        <f t="shared" si="45"/>
        <v>0</v>
      </c>
      <c r="AD151" s="263"/>
      <c r="AE151" s="264">
        <f t="shared" si="46"/>
        <v>0</v>
      </c>
      <c r="AF151" s="263"/>
      <c r="AG151" s="264">
        <f t="shared" si="47"/>
        <v>0</v>
      </c>
      <c r="AH151" s="263"/>
      <c r="AI151" s="264">
        <f t="shared" si="48"/>
        <v>0</v>
      </c>
      <c r="AJ151" s="263"/>
      <c r="AK151" s="264">
        <f t="shared" si="49"/>
        <v>0</v>
      </c>
      <c r="AL151" s="263"/>
      <c r="AM151" s="264">
        <f t="shared" si="50"/>
        <v>0</v>
      </c>
      <c r="AN151" s="267">
        <f t="shared" si="51"/>
        <v>0</v>
      </c>
      <c r="AO151" s="268"/>
      <c r="AP151" s="158"/>
    </row>
    <row r="152" spans="1:42" thickBot="1">
      <c r="A152" s="106"/>
      <c r="B152" s="157"/>
      <c r="C152" s="157"/>
      <c r="D152" s="104"/>
      <c r="E152" s="105"/>
      <c r="F152" s="105"/>
      <c r="G152" s="105"/>
      <c r="H152" s="103"/>
      <c r="I152" s="157"/>
      <c r="J152" s="103"/>
      <c r="K152" s="103"/>
      <c r="L152" s="105"/>
      <c r="M152" s="105"/>
      <c r="N152" s="107"/>
      <c r="O152" s="105"/>
      <c r="P152" s="263"/>
      <c r="Q152" s="264">
        <f t="shared" si="39"/>
        <v>0</v>
      </c>
      <c r="R152" s="263"/>
      <c r="S152" s="264">
        <f t="shared" si="40"/>
        <v>0</v>
      </c>
      <c r="T152" s="263"/>
      <c r="U152" s="264">
        <f t="shared" si="41"/>
        <v>0</v>
      </c>
      <c r="V152" s="263"/>
      <c r="W152" s="264">
        <f t="shared" si="42"/>
        <v>0</v>
      </c>
      <c r="X152" s="263"/>
      <c r="Y152" s="264">
        <f t="shared" si="43"/>
        <v>0</v>
      </c>
      <c r="Z152" s="263"/>
      <c r="AA152" s="264">
        <f t="shared" si="44"/>
        <v>0</v>
      </c>
      <c r="AB152" s="263"/>
      <c r="AC152" s="264">
        <f t="shared" si="45"/>
        <v>0</v>
      </c>
      <c r="AD152" s="263"/>
      <c r="AE152" s="264">
        <f t="shared" si="46"/>
        <v>0</v>
      </c>
      <c r="AF152" s="263"/>
      <c r="AG152" s="264">
        <f t="shared" si="47"/>
        <v>0</v>
      </c>
      <c r="AH152" s="263"/>
      <c r="AI152" s="264">
        <f t="shared" si="48"/>
        <v>0</v>
      </c>
      <c r="AJ152" s="263"/>
      <c r="AK152" s="264">
        <f t="shared" si="49"/>
        <v>0</v>
      </c>
      <c r="AL152" s="263"/>
      <c r="AM152" s="264">
        <f t="shared" si="50"/>
        <v>0</v>
      </c>
      <c r="AN152" s="267">
        <f t="shared" si="51"/>
        <v>0</v>
      </c>
      <c r="AO152" s="268"/>
      <c r="AP152" s="158"/>
    </row>
    <row r="153" spans="1:42" thickBot="1">
      <c r="A153" s="106"/>
      <c r="B153" s="157"/>
      <c r="C153" s="157"/>
      <c r="D153" s="104"/>
      <c r="E153" s="105"/>
      <c r="F153" s="105"/>
      <c r="G153" s="105"/>
      <c r="H153" s="103"/>
      <c r="I153" s="157"/>
      <c r="J153" s="103"/>
      <c r="K153" s="103"/>
      <c r="L153" s="105"/>
      <c r="M153" s="105"/>
      <c r="N153" s="107"/>
      <c r="O153" s="105"/>
      <c r="P153" s="263"/>
      <c r="Q153" s="264">
        <f t="shared" si="39"/>
        <v>0</v>
      </c>
      <c r="R153" s="263"/>
      <c r="S153" s="264">
        <f t="shared" si="40"/>
        <v>0</v>
      </c>
      <c r="T153" s="263"/>
      <c r="U153" s="264">
        <f t="shared" si="41"/>
        <v>0</v>
      </c>
      <c r="V153" s="263"/>
      <c r="W153" s="264">
        <f t="shared" si="42"/>
        <v>0</v>
      </c>
      <c r="X153" s="263"/>
      <c r="Y153" s="264">
        <f t="shared" si="43"/>
        <v>0</v>
      </c>
      <c r="Z153" s="263"/>
      <c r="AA153" s="264">
        <f t="shared" si="44"/>
        <v>0</v>
      </c>
      <c r="AB153" s="263"/>
      <c r="AC153" s="264">
        <f t="shared" si="45"/>
        <v>0</v>
      </c>
      <c r="AD153" s="263"/>
      <c r="AE153" s="264">
        <f t="shared" si="46"/>
        <v>0</v>
      </c>
      <c r="AF153" s="263"/>
      <c r="AG153" s="264">
        <f t="shared" si="47"/>
        <v>0</v>
      </c>
      <c r="AH153" s="263"/>
      <c r="AI153" s="264">
        <f t="shared" si="48"/>
        <v>0</v>
      </c>
      <c r="AJ153" s="263"/>
      <c r="AK153" s="264">
        <f t="shared" si="49"/>
        <v>0</v>
      </c>
      <c r="AL153" s="263"/>
      <c r="AM153" s="264">
        <f t="shared" si="50"/>
        <v>0</v>
      </c>
      <c r="AN153" s="267">
        <f t="shared" si="51"/>
        <v>0</v>
      </c>
      <c r="AO153" s="268"/>
      <c r="AP153" s="158"/>
    </row>
    <row r="154" spans="1:42" thickBot="1">
      <c r="A154" s="106"/>
      <c r="B154" s="157"/>
      <c r="C154" s="157"/>
      <c r="D154" s="104"/>
      <c r="E154" s="105"/>
      <c r="F154" s="105"/>
      <c r="G154" s="105"/>
      <c r="H154" s="103"/>
      <c r="I154" s="157"/>
      <c r="J154" s="103"/>
      <c r="K154" s="103"/>
      <c r="L154" s="105"/>
      <c r="M154" s="105"/>
      <c r="N154" s="107"/>
      <c r="O154" s="105"/>
      <c r="P154" s="263"/>
      <c r="Q154" s="264">
        <f t="shared" si="39"/>
        <v>0</v>
      </c>
      <c r="R154" s="263"/>
      <c r="S154" s="264">
        <f t="shared" si="40"/>
        <v>0</v>
      </c>
      <c r="T154" s="263"/>
      <c r="U154" s="264">
        <f t="shared" si="41"/>
        <v>0</v>
      </c>
      <c r="V154" s="263"/>
      <c r="W154" s="264">
        <f t="shared" si="42"/>
        <v>0</v>
      </c>
      <c r="X154" s="263"/>
      <c r="Y154" s="264">
        <f t="shared" si="43"/>
        <v>0</v>
      </c>
      <c r="Z154" s="263"/>
      <c r="AA154" s="264">
        <f t="shared" si="44"/>
        <v>0</v>
      </c>
      <c r="AB154" s="263"/>
      <c r="AC154" s="264">
        <f t="shared" si="45"/>
        <v>0</v>
      </c>
      <c r="AD154" s="263"/>
      <c r="AE154" s="264">
        <f t="shared" si="46"/>
        <v>0</v>
      </c>
      <c r="AF154" s="263"/>
      <c r="AG154" s="264">
        <f t="shared" si="47"/>
        <v>0</v>
      </c>
      <c r="AH154" s="263"/>
      <c r="AI154" s="264">
        <f t="shared" si="48"/>
        <v>0</v>
      </c>
      <c r="AJ154" s="263"/>
      <c r="AK154" s="264">
        <f t="shared" si="49"/>
        <v>0</v>
      </c>
      <c r="AL154" s="263"/>
      <c r="AM154" s="264">
        <f t="shared" si="50"/>
        <v>0</v>
      </c>
      <c r="AN154" s="267">
        <f t="shared" si="51"/>
        <v>0</v>
      </c>
      <c r="AO154" s="268"/>
      <c r="AP154" s="158"/>
    </row>
    <row r="155" spans="1:42" thickBot="1">
      <c r="A155" s="106"/>
      <c r="B155" s="157"/>
      <c r="C155" s="157"/>
      <c r="D155" s="104"/>
      <c r="E155" s="105"/>
      <c r="F155" s="105"/>
      <c r="G155" s="105"/>
      <c r="H155" s="103"/>
      <c r="I155" s="157"/>
      <c r="J155" s="103"/>
      <c r="K155" s="103"/>
      <c r="L155" s="105"/>
      <c r="M155" s="105"/>
      <c r="N155" s="107"/>
      <c r="O155" s="105"/>
      <c r="P155" s="263"/>
      <c r="Q155" s="264">
        <f t="shared" si="39"/>
        <v>0</v>
      </c>
      <c r="R155" s="263"/>
      <c r="S155" s="264">
        <f t="shared" si="40"/>
        <v>0</v>
      </c>
      <c r="T155" s="263"/>
      <c r="U155" s="264">
        <f t="shared" si="41"/>
        <v>0</v>
      </c>
      <c r="V155" s="263"/>
      <c r="W155" s="264">
        <f t="shared" si="42"/>
        <v>0</v>
      </c>
      <c r="X155" s="263"/>
      <c r="Y155" s="264">
        <f t="shared" si="43"/>
        <v>0</v>
      </c>
      <c r="Z155" s="263"/>
      <c r="AA155" s="264">
        <f t="shared" si="44"/>
        <v>0</v>
      </c>
      <c r="AB155" s="263"/>
      <c r="AC155" s="264">
        <f t="shared" si="45"/>
        <v>0</v>
      </c>
      <c r="AD155" s="263"/>
      <c r="AE155" s="264">
        <f t="shared" si="46"/>
        <v>0</v>
      </c>
      <c r="AF155" s="263"/>
      <c r="AG155" s="264">
        <f t="shared" si="47"/>
        <v>0</v>
      </c>
      <c r="AH155" s="263"/>
      <c r="AI155" s="264">
        <f t="shared" si="48"/>
        <v>0</v>
      </c>
      <c r="AJ155" s="263"/>
      <c r="AK155" s="264">
        <f t="shared" si="49"/>
        <v>0</v>
      </c>
      <c r="AL155" s="263"/>
      <c r="AM155" s="264">
        <f t="shared" si="50"/>
        <v>0</v>
      </c>
      <c r="AN155" s="267">
        <f t="shared" si="51"/>
        <v>0</v>
      </c>
      <c r="AO155" s="268"/>
      <c r="AP155" s="158"/>
    </row>
    <row r="156" spans="1:42" thickBot="1">
      <c r="A156" s="106"/>
      <c r="B156" s="157"/>
      <c r="C156" s="157"/>
      <c r="D156" s="104"/>
      <c r="E156" s="105"/>
      <c r="F156" s="105"/>
      <c r="G156" s="105"/>
      <c r="H156" s="103"/>
      <c r="I156" s="157"/>
      <c r="J156" s="103"/>
      <c r="K156" s="103"/>
      <c r="L156" s="105"/>
      <c r="M156" s="105"/>
      <c r="N156" s="107"/>
      <c r="O156" s="105"/>
      <c r="P156" s="263"/>
      <c r="Q156" s="264">
        <f t="shared" si="39"/>
        <v>0</v>
      </c>
      <c r="R156" s="263"/>
      <c r="S156" s="264">
        <f t="shared" si="40"/>
        <v>0</v>
      </c>
      <c r="T156" s="263"/>
      <c r="U156" s="264">
        <f t="shared" si="41"/>
        <v>0</v>
      </c>
      <c r="V156" s="263"/>
      <c r="W156" s="264">
        <f t="shared" si="42"/>
        <v>0</v>
      </c>
      <c r="X156" s="263"/>
      <c r="Y156" s="264">
        <f t="shared" si="43"/>
        <v>0</v>
      </c>
      <c r="Z156" s="263"/>
      <c r="AA156" s="264">
        <f t="shared" si="44"/>
        <v>0</v>
      </c>
      <c r="AB156" s="263"/>
      <c r="AC156" s="264">
        <f t="shared" si="45"/>
        <v>0</v>
      </c>
      <c r="AD156" s="263"/>
      <c r="AE156" s="264">
        <f t="shared" si="46"/>
        <v>0</v>
      </c>
      <c r="AF156" s="263"/>
      <c r="AG156" s="264">
        <f t="shared" si="47"/>
        <v>0</v>
      </c>
      <c r="AH156" s="263"/>
      <c r="AI156" s="264">
        <f t="shared" si="48"/>
        <v>0</v>
      </c>
      <c r="AJ156" s="263"/>
      <c r="AK156" s="264">
        <f t="shared" si="49"/>
        <v>0</v>
      </c>
      <c r="AL156" s="263"/>
      <c r="AM156" s="264">
        <f t="shared" si="50"/>
        <v>0</v>
      </c>
      <c r="AN156" s="267">
        <f t="shared" si="51"/>
        <v>0</v>
      </c>
      <c r="AO156" s="268"/>
      <c r="AP156" s="158"/>
    </row>
    <row r="157" spans="1:42" thickBot="1">
      <c r="A157" s="106"/>
      <c r="B157" s="157"/>
      <c r="C157" s="157"/>
      <c r="D157" s="104"/>
      <c r="E157" s="105"/>
      <c r="F157" s="105"/>
      <c r="G157" s="105"/>
      <c r="H157" s="103"/>
      <c r="I157" s="157"/>
      <c r="J157" s="103"/>
      <c r="K157" s="103"/>
      <c r="L157" s="105"/>
      <c r="M157" s="105"/>
      <c r="N157" s="107"/>
      <c r="O157" s="105"/>
      <c r="P157" s="263"/>
      <c r="Q157" s="264">
        <f t="shared" si="39"/>
        <v>0</v>
      </c>
      <c r="R157" s="263"/>
      <c r="S157" s="264">
        <f t="shared" si="40"/>
        <v>0</v>
      </c>
      <c r="T157" s="263"/>
      <c r="U157" s="264">
        <f t="shared" si="41"/>
        <v>0</v>
      </c>
      <c r="V157" s="263"/>
      <c r="W157" s="264">
        <f t="shared" si="42"/>
        <v>0</v>
      </c>
      <c r="X157" s="263"/>
      <c r="Y157" s="264">
        <f t="shared" si="43"/>
        <v>0</v>
      </c>
      <c r="Z157" s="263"/>
      <c r="AA157" s="264">
        <f t="shared" si="44"/>
        <v>0</v>
      </c>
      <c r="AB157" s="263"/>
      <c r="AC157" s="264">
        <f t="shared" si="45"/>
        <v>0</v>
      </c>
      <c r="AD157" s="263"/>
      <c r="AE157" s="264">
        <f t="shared" si="46"/>
        <v>0</v>
      </c>
      <c r="AF157" s="263"/>
      <c r="AG157" s="264">
        <f t="shared" si="47"/>
        <v>0</v>
      </c>
      <c r="AH157" s="263"/>
      <c r="AI157" s="264">
        <f t="shared" si="48"/>
        <v>0</v>
      </c>
      <c r="AJ157" s="263"/>
      <c r="AK157" s="264">
        <f t="shared" si="49"/>
        <v>0</v>
      </c>
      <c r="AL157" s="263"/>
      <c r="AM157" s="264">
        <f t="shared" si="50"/>
        <v>0</v>
      </c>
      <c r="AN157" s="267">
        <f t="shared" si="51"/>
        <v>0</v>
      </c>
      <c r="AO157" s="268"/>
      <c r="AP157" s="158"/>
    </row>
    <row r="158" spans="1:42" thickBot="1">
      <c r="A158" s="106"/>
      <c r="B158" s="157"/>
      <c r="C158" s="157"/>
      <c r="D158" s="104"/>
      <c r="E158" s="105"/>
      <c r="F158" s="105"/>
      <c r="G158" s="105"/>
      <c r="H158" s="103"/>
      <c r="I158" s="157"/>
      <c r="J158" s="103"/>
      <c r="K158" s="103"/>
      <c r="L158" s="105"/>
      <c r="M158" s="105"/>
      <c r="N158" s="107"/>
      <c r="O158" s="105"/>
      <c r="P158" s="263"/>
      <c r="Q158" s="264">
        <f t="shared" si="39"/>
        <v>0</v>
      </c>
      <c r="R158" s="263"/>
      <c r="S158" s="264">
        <f t="shared" si="40"/>
        <v>0</v>
      </c>
      <c r="T158" s="263"/>
      <c r="U158" s="264">
        <f t="shared" si="41"/>
        <v>0</v>
      </c>
      <c r="V158" s="263"/>
      <c r="W158" s="264">
        <f t="shared" si="42"/>
        <v>0</v>
      </c>
      <c r="X158" s="263"/>
      <c r="Y158" s="264">
        <f t="shared" si="43"/>
        <v>0</v>
      </c>
      <c r="Z158" s="263"/>
      <c r="AA158" s="264">
        <f t="shared" si="44"/>
        <v>0</v>
      </c>
      <c r="AB158" s="263"/>
      <c r="AC158" s="264">
        <f t="shared" si="45"/>
        <v>0</v>
      </c>
      <c r="AD158" s="263"/>
      <c r="AE158" s="264">
        <f t="shared" si="46"/>
        <v>0</v>
      </c>
      <c r="AF158" s="263"/>
      <c r="AG158" s="264">
        <f t="shared" si="47"/>
        <v>0</v>
      </c>
      <c r="AH158" s="263"/>
      <c r="AI158" s="264">
        <f t="shared" si="48"/>
        <v>0</v>
      </c>
      <c r="AJ158" s="263"/>
      <c r="AK158" s="264">
        <f t="shared" si="49"/>
        <v>0</v>
      </c>
      <c r="AL158" s="263"/>
      <c r="AM158" s="264">
        <f t="shared" si="50"/>
        <v>0</v>
      </c>
      <c r="AN158" s="267">
        <f t="shared" si="51"/>
        <v>0</v>
      </c>
      <c r="AO158" s="268"/>
      <c r="AP158" s="158"/>
    </row>
    <row r="159" spans="1:42" thickBot="1">
      <c r="A159" s="106"/>
      <c r="B159" s="157"/>
      <c r="C159" s="157"/>
      <c r="D159" s="104"/>
      <c r="E159" s="105"/>
      <c r="F159" s="105"/>
      <c r="G159" s="105"/>
      <c r="H159" s="103"/>
      <c r="I159" s="157"/>
      <c r="J159" s="103"/>
      <c r="K159" s="103"/>
      <c r="L159" s="105"/>
      <c r="M159" s="105"/>
      <c r="N159" s="107"/>
      <c r="O159" s="105"/>
      <c r="P159" s="263"/>
      <c r="Q159" s="264">
        <f t="shared" si="39"/>
        <v>0</v>
      </c>
      <c r="R159" s="263"/>
      <c r="S159" s="264">
        <f t="shared" si="40"/>
        <v>0</v>
      </c>
      <c r="T159" s="263"/>
      <c r="U159" s="264">
        <f t="shared" si="41"/>
        <v>0</v>
      </c>
      <c r="V159" s="263"/>
      <c r="W159" s="264">
        <f t="shared" si="42"/>
        <v>0</v>
      </c>
      <c r="X159" s="263"/>
      <c r="Y159" s="264">
        <f t="shared" si="43"/>
        <v>0</v>
      </c>
      <c r="Z159" s="263"/>
      <c r="AA159" s="264">
        <f t="shared" si="44"/>
        <v>0</v>
      </c>
      <c r="AB159" s="263"/>
      <c r="AC159" s="264">
        <f t="shared" si="45"/>
        <v>0</v>
      </c>
      <c r="AD159" s="263"/>
      <c r="AE159" s="264">
        <f t="shared" si="46"/>
        <v>0</v>
      </c>
      <c r="AF159" s="263"/>
      <c r="AG159" s="264">
        <f t="shared" si="47"/>
        <v>0</v>
      </c>
      <c r="AH159" s="263"/>
      <c r="AI159" s="264">
        <f t="shared" si="48"/>
        <v>0</v>
      </c>
      <c r="AJ159" s="263"/>
      <c r="AK159" s="264">
        <f t="shared" si="49"/>
        <v>0</v>
      </c>
      <c r="AL159" s="263"/>
      <c r="AM159" s="264">
        <f t="shared" si="50"/>
        <v>0</v>
      </c>
      <c r="AN159" s="267">
        <f t="shared" si="51"/>
        <v>0</v>
      </c>
      <c r="AO159" s="268"/>
      <c r="AP159" s="158"/>
    </row>
    <row r="160" spans="1:42" thickBot="1">
      <c r="A160" s="106"/>
      <c r="B160" s="157"/>
      <c r="C160" s="157"/>
      <c r="D160" s="104"/>
      <c r="E160" s="105"/>
      <c r="F160" s="105"/>
      <c r="G160" s="105"/>
      <c r="H160" s="103"/>
      <c r="I160" s="157"/>
      <c r="J160" s="103"/>
      <c r="K160" s="103"/>
      <c r="L160" s="105"/>
      <c r="M160" s="105"/>
      <c r="N160" s="107"/>
      <c r="O160" s="105"/>
      <c r="P160" s="263"/>
      <c r="Q160" s="264">
        <f t="shared" si="39"/>
        <v>0</v>
      </c>
      <c r="R160" s="263"/>
      <c r="S160" s="264">
        <f t="shared" si="40"/>
        <v>0</v>
      </c>
      <c r="T160" s="263"/>
      <c r="U160" s="264">
        <f t="shared" si="41"/>
        <v>0</v>
      </c>
      <c r="V160" s="263"/>
      <c r="W160" s="264">
        <f t="shared" si="42"/>
        <v>0</v>
      </c>
      <c r="X160" s="263"/>
      <c r="Y160" s="264">
        <f t="shared" si="43"/>
        <v>0</v>
      </c>
      <c r="Z160" s="263"/>
      <c r="AA160" s="264">
        <f t="shared" si="44"/>
        <v>0</v>
      </c>
      <c r="AB160" s="263"/>
      <c r="AC160" s="264">
        <f t="shared" si="45"/>
        <v>0</v>
      </c>
      <c r="AD160" s="263"/>
      <c r="AE160" s="264">
        <f t="shared" si="46"/>
        <v>0</v>
      </c>
      <c r="AF160" s="263"/>
      <c r="AG160" s="264">
        <f t="shared" si="47"/>
        <v>0</v>
      </c>
      <c r="AH160" s="263"/>
      <c r="AI160" s="264">
        <f t="shared" si="48"/>
        <v>0</v>
      </c>
      <c r="AJ160" s="263"/>
      <c r="AK160" s="264">
        <f t="shared" si="49"/>
        <v>0</v>
      </c>
      <c r="AL160" s="263"/>
      <c r="AM160" s="264">
        <f t="shared" si="50"/>
        <v>0</v>
      </c>
      <c r="AN160" s="267">
        <f t="shared" si="51"/>
        <v>0</v>
      </c>
      <c r="AO160" s="268"/>
      <c r="AP160" s="158"/>
    </row>
    <row r="161" spans="1:42" thickBot="1">
      <c r="A161" s="106"/>
      <c r="B161" s="157"/>
      <c r="C161" s="157"/>
      <c r="D161" s="104"/>
      <c r="E161" s="105"/>
      <c r="F161" s="105"/>
      <c r="G161" s="105"/>
      <c r="H161" s="103"/>
      <c r="I161" s="157"/>
      <c r="J161" s="103"/>
      <c r="K161" s="103"/>
      <c r="L161" s="105"/>
      <c r="M161" s="105"/>
      <c r="N161" s="107"/>
      <c r="O161" s="105"/>
      <c r="P161" s="263"/>
      <c r="Q161" s="264">
        <f t="shared" si="39"/>
        <v>0</v>
      </c>
      <c r="R161" s="263"/>
      <c r="S161" s="264">
        <f t="shared" si="40"/>
        <v>0</v>
      </c>
      <c r="T161" s="263"/>
      <c r="U161" s="264">
        <f t="shared" si="41"/>
        <v>0</v>
      </c>
      <c r="V161" s="263"/>
      <c r="W161" s="264">
        <f t="shared" si="42"/>
        <v>0</v>
      </c>
      <c r="X161" s="263"/>
      <c r="Y161" s="264">
        <f t="shared" si="43"/>
        <v>0</v>
      </c>
      <c r="Z161" s="263"/>
      <c r="AA161" s="264">
        <f t="shared" si="44"/>
        <v>0</v>
      </c>
      <c r="AB161" s="263"/>
      <c r="AC161" s="264">
        <f t="shared" si="45"/>
        <v>0</v>
      </c>
      <c r="AD161" s="263"/>
      <c r="AE161" s="264">
        <f t="shared" si="46"/>
        <v>0</v>
      </c>
      <c r="AF161" s="263"/>
      <c r="AG161" s="264">
        <f t="shared" si="47"/>
        <v>0</v>
      </c>
      <c r="AH161" s="263"/>
      <c r="AI161" s="264">
        <f t="shared" si="48"/>
        <v>0</v>
      </c>
      <c r="AJ161" s="263"/>
      <c r="AK161" s="264">
        <f t="shared" si="49"/>
        <v>0</v>
      </c>
      <c r="AL161" s="263"/>
      <c r="AM161" s="264">
        <f t="shared" si="50"/>
        <v>0</v>
      </c>
      <c r="AN161" s="267">
        <f t="shared" si="51"/>
        <v>0</v>
      </c>
      <c r="AO161" s="268"/>
      <c r="AP161" s="158"/>
    </row>
    <row r="162" spans="1:42" thickBot="1">
      <c r="A162" s="106"/>
      <c r="B162" s="157"/>
      <c r="C162" s="157"/>
      <c r="D162" s="104"/>
      <c r="E162" s="105"/>
      <c r="F162" s="105"/>
      <c r="G162" s="105"/>
      <c r="H162" s="103"/>
      <c r="I162" s="157"/>
      <c r="J162" s="103"/>
      <c r="K162" s="103"/>
      <c r="L162" s="105"/>
      <c r="M162" s="105"/>
      <c r="N162" s="107"/>
      <c r="O162" s="105"/>
      <c r="P162" s="263"/>
      <c r="Q162" s="264">
        <f t="shared" si="39"/>
        <v>0</v>
      </c>
      <c r="R162" s="263"/>
      <c r="S162" s="264">
        <f t="shared" si="40"/>
        <v>0</v>
      </c>
      <c r="T162" s="263"/>
      <c r="U162" s="264">
        <f t="shared" si="41"/>
        <v>0</v>
      </c>
      <c r="V162" s="263"/>
      <c r="W162" s="264">
        <f t="shared" si="42"/>
        <v>0</v>
      </c>
      <c r="X162" s="263"/>
      <c r="Y162" s="264">
        <f t="shared" si="43"/>
        <v>0</v>
      </c>
      <c r="Z162" s="263"/>
      <c r="AA162" s="264">
        <f t="shared" si="44"/>
        <v>0</v>
      </c>
      <c r="AB162" s="263"/>
      <c r="AC162" s="264">
        <f t="shared" si="45"/>
        <v>0</v>
      </c>
      <c r="AD162" s="263"/>
      <c r="AE162" s="264">
        <f t="shared" si="46"/>
        <v>0</v>
      </c>
      <c r="AF162" s="263"/>
      <c r="AG162" s="264">
        <f t="shared" si="47"/>
        <v>0</v>
      </c>
      <c r="AH162" s="263"/>
      <c r="AI162" s="264">
        <f t="shared" si="48"/>
        <v>0</v>
      </c>
      <c r="AJ162" s="263"/>
      <c r="AK162" s="264">
        <f t="shared" si="49"/>
        <v>0</v>
      </c>
      <c r="AL162" s="263"/>
      <c r="AM162" s="264">
        <f t="shared" si="50"/>
        <v>0</v>
      </c>
      <c r="AN162" s="267">
        <f t="shared" si="51"/>
        <v>0</v>
      </c>
      <c r="AO162" s="268"/>
      <c r="AP162" s="158"/>
    </row>
    <row r="163" spans="1:42" thickBot="1">
      <c r="A163" s="106"/>
      <c r="B163" s="157"/>
      <c r="C163" s="157"/>
      <c r="D163" s="104"/>
      <c r="E163" s="105"/>
      <c r="F163" s="105"/>
      <c r="G163" s="105"/>
      <c r="H163" s="103"/>
      <c r="I163" s="157"/>
      <c r="J163" s="103"/>
      <c r="K163" s="103"/>
      <c r="L163" s="105"/>
      <c r="M163" s="105"/>
      <c r="N163" s="107"/>
      <c r="O163" s="105"/>
      <c r="P163" s="263"/>
      <c r="Q163" s="264">
        <f t="shared" si="39"/>
        <v>0</v>
      </c>
      <c r="R163" s="263"/>
      <c r="S163" s="264">
        <f t="shared" si="40"/>
        <v>0</v>
      </c>
      <c r="T163" s="263"/>
      <c r="U163" s="264">
        <f t="shared" si="41"/>
        <v>0</v>
      </c>
      <c r="V163" s="263"/>
      <c r="W163" s="264">
        <f t="shared" si="42"/>
        <v>0</v>
      </c>
      <c r="X163" s="263"/>
      <c r="Y163" s="264">
        <f t="shared" si="43"/>
        <v>0</v>
      </c>
      <c r="Z163" s="263"/>
      <c r="AA163" s="264">
        <f t="shared" si="44"/>
        <v>0</v>
      </c>
      <c r="AB163" s="263"/>
      <c r="AC163" s="264">
        <f t="shared" si="45"/>
        <v>0</v>
      </c>
      <c r="AD163" s="263"/>
      <c r="AE163" s="264">
        <f t="shared" si="46"/>
        <v>0</v>
      </c>
      <c r="AF163" s="263"/>
      <c r="AG163" s="264">
        <f t="shared" si="47"/>
        <v>0</v>
      </c>
      <c r="AH163" s="263"/>
      <c r="AI163" s="264">
        <f t="shared" si="48"/>
        <v>0</v>
      </c>
      <c r="AJ163" s="263"/>
      <c r="AK163" s="264">
        <f t="shared" si="49"/>
        <v>0</v>
      </c>
      <c r="AL163" s="263"/>
      <c r="AM163" s="264">
        <f t="shared" si="50"/>
        <v>0</v>
      </c>
      <c r="AN163" s="267">
        <f t="shared" si="51"/>
        <v>0</v>
      </c>
      <c r="AO163" s="268"/>
      <c r="AP163" s="158"/>
    </row>
    <row r="164" spans="1:42" thickBot="1">
      <c r="A164" s="106"/>
      <c r="B164" s="157"/>
      <c r="C164" s="157"/>
      <c r="D164" s="104"/>
      <c r="E164" s="105"/>
      <c r="F164" s="105"/>
      <c r="G164" s="105"/>
      <c r="H164" s="103"/>
      <c r="I164" s="157"/>
      <c r="J164" s="103"/>
      <c r="K164" s="103"/>
      <c r="L164" s="105"/>
      <c r="M164" s="105"/>
      <c r="N164" s="107"/>
      <c r="O164" s="105"/>
      <c r="P164" s="263"/>
      <c r="Q164" s="264">
        <f t="shared" si="39"/>
        <v>0</v>
      </c>
      <c r="R164" s="263"/>
      <c r="S164" s="264">
        <f t="shared" si="40"/>
        <v>0</v>
      </c>
      <c r="T164" s="263"/>
      <c r="U164" s="264">
        <f t="shared" si="41"/>
        <v>0</v>
      </c>
      <c r="V164" s="263"/>
      <c r="W164" s="264">
        <f t="shared" si="42"/>
        <v>0</v>
      </c>
      <c r="X164" s="263"/>
      <c r="Y164" s="264">
        <f t="shared" si="43"/>
        <v>0</v>
      </c>
      <c r="Z164" s="263"/>
      <c r="AA164" s="264">
        <f t="shared" si="44"/>
        <v>0</v>
      </c>
      <c r="AB164" s="263"/>
      <c r="AC164" s="264">
        <f t="shared" si="45"/>
        <v>0</v>
      </c>
      <c r="AD164" s="263"/>
      <c r="AE164" s="264">
        <f t="shared" si="46"/>
        <v>0</v>
      </c>
      <c r="AF164" s="263"/>
      <c r="AG164" s="264">
        <f t="shared" si="47"/>
        <v>0</v>
      </c>
      <c r="AH164" s="263"/>
      <c r="AI164" s="264">
        <f t="shared" si="48"/>
        <v>0</v>
      </c>
      <c r="AJ164" s="263"/>
      <c r="AK164" s="264">
        <f t="shared" si="49"/>
        <v>0</v>
      </c>
      <c r="AL164" s="263"/>
      <c r="AM164" s="264">
        <f t="shared" si="50"/>
        <v>0</v>
      </c>
      <c r="AN164" s="267">
        <f t="shared" si="51"/>
        <v>0</v>
      </c>
      <c r="AO164" s="268"/>
      <c r="AP164" s="158"/>
    </row>
    <row r="165" spans="1:42" thickBot="1">
      <c r="A165" s="106"/>
      <c r="B165" s="157"/>
      <c r="C165" s="157"/>
      <c r="D165" s="104"/>
      <c r="E165" s="105"/>
      <c r="F165" s="105"/>
      <c r="G165" s="105"/>
      <c r="H165" s="103"/>
      <c r="I165" s="157"/>
      <c r="J165" s="103"/>
      <c r="K165" s="103"/>
      <c r="L165" s="105"/>
      <c r="M165" s="105"/>
      <c r="N165" s="107"/>
      <c r="O165" s="105"/>
      <c r="P165" s="263"/>
      <c r="Q165" s="264">
        <f t="shared" si="39"/>
        <v>0</v>
      </c>
      <c r="R165" s="263"/>
      <c r="S165" s="264">
        <f t="shared" si="40"/>
        <v>0</v>
      </c>
      <c r="T165" s="263"/>
      <c r="U165" s="264">
        <f t="shared" si="41"/>
        <v>0</v>
      </c>
      <c r="V165" s="263"/>
      <c r="W165" s="264">
        <f t="shared" si="42"/>
        <v>0</v>
      </c>
      <c r="X165" s="263"/>
      <c r="Y165" s="264">
        <f t="shared" si="43"/>
        <v>0</v>
      </c>
      <c r="Z165" s="263"/>
      <c r="AA165" s="264">
        <f t="shared" si="44"/>
        <v>0</v>
      </c>
      <c r="AB165" s="263"/>
      <c r="AC165" s="264">
        <f t="shared" si="45"/>
        <v>0</v>
      </c>
      <c r="AD165" s="263"/>
      <c r="AE165" s="264">
        <f t="shared" si="46"/>
        <v>0</v>
      </c>
      <c r="AF165" s="263"/>
      <c r="AG165" s="264">
        <f t="shared" si="47"/>
        <v>0</v>
      </c>
      <c r="AH165" s="263"/>
      <c r="AI165" s="264">
        <f t="shared" si="48"/>
        <v>0</v>
      </c>
      <c r="AJ165" s="263"/>
      <c r="AK165" s="264">
        <f t="shared" si="49"/>
        <v>0</v>
      </c>
      <c r="AL165" s="263"/>
      <c r="AM165" s="264">
        <f t="shared" si="50"/>
        <v>0</v>
      </c>
      <c r="AN165" s="267">
        <f t="shared" si="51"/>
        <v>0</v>
      </c>
      <c r="AO165" s="268"/>
      <c r="AP165" s="158"/>
    </row>
    <row r="166" spans="1:42" thickBot="1">
      <c r="A166" s="106"/>
      <c r="B166" s="157"/>
      <c r="C166" s="157"/>
      <c r="D166" s="104"/>
      <c r="E166" s="105"/>
      <c r="F166" s="105"/>
      <c r="G166" s="105"/>
      <c r="H166" s="103"/>
      <c r="I166" s="157"/>
      <c r="J166" s="103"/>
      <c r="K166" s="103"/>
      <c r="L166" s="105"/>
      <c r="M166" s="105"/>
      <c r="N166" s="107"/>
      <c r="O166" s="105"/>
      <c r="P166" s="263"/>
      <c r="Q166" s="264">
        <f t="shared" si="39"/>
        <v>0</v>
      </c>
      <c r="R166" s="263"/>
      <c r="S166" s="264">
        <f t="shared" si="40"/>
        <v>0</v>
      </c>
      <c r="T166" s="263"/>
      <c r="U166" s="264">
        <f t="shared" si="41"/>
        <v>0</v>
      </c>
      <c r="V166" s="263"/>
      <c r="W166" s="264">
        <f t="shared" si="42"/>
        <v>0</v>
      </c>
      <c r="X166" s="263"/>
      <c r="Y166" s="264">
        <f t="shared" si="43"/>
        <v>0</v>
      </c>
      <c r="Z166" s="263"/>
      <c r="AA166" s="264">
        <f t="shared" si="44"/>
        <v>0</v>
      </c>
      <c r="AB166" s="263"/>
      <c r="AC166" s="264">
        <f t="shared" si="45"/>
        <v>0</v>
      </c>
      <c r="AD166" s="263"/>
      <c r="AE166" s="264">
        <f t="shared" si="46"/>
        <v>0</v>
      </c>
      <c r="AF166" s="263"/>
      <c r="AG166" s="264">
        <f t="shared" si="47"/>
        <v>0</v>
      </c>
      <c r="AH166" s="263"/>
      <c r="AI166" s="264">
        <f t="shared" si="48"/>
        <v>0</v>
      </c>
      <c r="AJ166" s="263"/>
      <c r="AK166" s="264">
        <f t="shared" si="49"/>
        <v>0</v>
      </c>
      <c r="AL166" s="263"/>
      <c r="AM166" s="264">
        <f t="shared" si="50"/>
        <v>0</v>
      </c>
      <c r="AN166" s="267">
        <f t="shared" si="51"/>
        <v>0</v>
      </c>
      <c r="AO166" s="268"/>
      <c r="AP166" s="158"/>
    </row>
    <row r="167" spans="1:42" thickBot="1">
      <c r="A167" s="106"/>
      <c r="B167" s="157"/>
      <c r="C167" s="157"/>
      <c r="D167" s="104"/>
      <c r="E167" s="105"/>
      <c r="F167" s="105"/>
      <c r="G167" s="105"/>
      <c r="H167" s="103"/>
      <c r="I167" s="157"/>
      <c r="J167" s="103"/>
      <c r="K167" s="103"/>
      <c r="L167" s="105"/>
      <c r="M167" s="105"/>
      <c r="N167" s="107"/>
      <c r="O167" s="105"/>
      <c r="P167" s="263"/>
      <c r="Q167" s="264">
        <f t="shared" si="39"/>
        <v>0</v>
      </c>
      <c r="R167" s="263"/>
      <c r="S167" s="264">
        <f t="shared" si="40"/>
        <v>0</v>
      </c>
      <c r="T167" s="263"/>
      <c r="U167" s="264">
        <f t="shared" si="41"/>
        <v>0</v>
      </c>
      <c r="V167" s="263"/>
      <c r="W167" s="264">
        <f t="shared" si="42"/>
        <v>0</v>
      </c>
      <c r="X167" s="263"/>
      <c r="Y167" s="264">
        <f t="shared" si="43"/>
        <v>0</v>
      </c>
      <c r="Z167" s="263"/>
      <c r="AA167" s="264">
        <f t="shared" si="44"/>
        <v>0</v>
      </c>
      <c r="AB167" s="263"/>
      <c r="AC167" s="264">
        <f t="shared" si="45"/>
        <v>0</v>
      </c>
      <c r="AD167" s="263"/>
      <c r="AE167" s="264">
        <f t="shared" si="46"/>
        <v>0</v>
      </c>
      <c r="AF167" s="263"/>
      <c r="AG167" s="264">
        <f t="shared" si="47"/>
        <v>0</v>
      </c>
      <c r="AH167" s="263"/>
      <c r="AI167" s="264">
        <f t="shared" si="48"/>
        <v>0</v>
      </c>
      <c r="AJ167" s="263"/>
      <c r="AK167" s="264">
        <f t="shared" si="49"/>
        <v>0</v>
      </c>
      <c r="AL167" s="263"/>
      <c r="AM167" s="264">
        <f t="shared" si="50"/>
        <v>0</v>
      </c>
      <c r="AN167" s="267">
        <f t="shared" si="51"/>
        <v>0</v>
      </c>
      <c r="AO167" s="268"/>
      <c r="AP167" s="158"/>
    </row>
    <row r="168" spans="1:42" thickBot="1">
      <c r="A168" s="106"/>
      <c r="B168" s="157"/>
      <c r="C168" s="157"/>
      <c r="D168" s="104"/>
      <c r="E168" s="105"/>
      <c r="F168" s="105"/>
      <c r="G168" s="105"/>
      <c r="H168" s="103"/>
      <c r="I168" s="157"/>
      <c r="J168" s="103"/>
      <c r="K168" s="103"/>
      <c r="L168" s="105"/>
      <c r="M168" s="105"/>
      <c r="N168" s="107"/>
      <c r="O168" s="105"/>
      <c r="P168" s="263"/>
      <c r="Q168" s="264">
        <f t="shared" si="39"/>
        <v>0</v>
      </c>
      <c r="R168" s="263"/>
      <c r="S168" s="264">
        <f t="shared" si="40"/>
        <v>0</v>
      </c>
      <c r="T168" s="263"/>
      <c r="U168" s="264">
        <f t="shared" si="41"/>
        <v>0</v>
      </c>
      <c r="V168" s="263"/>
      <c r="W168" s="264">
        <f t="shared" si="42"/>
        <v>0</v>
      </c>
      <c r="X168" s="263"/>
      <c r="Y168" s="264">
        <f t="shared" si="43"/>
        <v>0</v>
      </c>
      <c r="Z168" s="263"/>
      <c r="AA168" s="264">
        <f t="shared" si="44"/>
        <v>0</v>
      </c>
      <c r="AB168" s="263"/>
      <c r="AC168" s="264">
        <f t="shared" si="45"/>
        <v>0</v>
      </c>
      <c r="AD168" s="263"/>
      <c r="AE168" s="264">
        <f t="shared" si="46"/>
        <v>0</v>
      </c>
      <c r="AF168" s="263"/>
      <c r="AG168" s="264">
        <f t="shared" si="47"/>
        <v>0</v>
      </c>
      <c r="AH168" s="263"/>
      <c r="AI168" s="264">
        <f t="shared" si="48"/>
        <v>0</v>
      </c>
      <c r="AJ168" s="263"/>
      <c r="AK168" s="264">
        <f t="shared" si="49"/>
        <v>0</v>
      </c>
      <c r="AL168" s="263"/>
      <c r="AM168" s="264">
        <f t="shared" si="50"/>
        <v>0</v>
      </c>
      <c r="AN168" s="267">
        <f t="shared" si="51"/>
        <v>0</v>
      </c>
      <c r="AO168" s="268"/>
      <c r="AP168" s="158"/>
    </row>
    <row r="169" spans="1:42" thickBot="1">
      <c r="A169" s="106"/>
      <c r="B169" s="157"/>
      <c r="C169" s="157"/>
      <c r="D169" s="104"/>
      <c r="E169" s="105"/>
      <c r="F169" s="105"/>
      <c r="G169" s="105"/>
      <c r="H169" s="103"/>
      <c r="I169" s="157"/>
      <c r="J169" s="103"/>
      <c r="K169" s="103"/>
      <c r="L169" s="105"/>
      <c r="M169" s="105"/>
      <c r="N169" s="107"/>
      <c r="O169" s="105"/>
      <c r="P169" s="263"/>
      <c r="Q169" s="264">
        <f t="shared" si="39"/>
        <v>0</v>
      </c>
      <c r="R169" s="263"/>
      <c r="S169" s="264">
        <f t="shared" si="40"/>
        <v>0</v>
      </c>
      <c r="T169" s="263"/>
      <c r="U169" s="264">
        <f t="shared" si="41"/>
        <v>0</v>
      </c>
      <c r="V169" s="263"/>
      <c r="W169" s="264">
        <f t="shared" si="42"/>
        <v>0</v>
      </c>
      <c r="X169" s="263"/>
      <c r="Y169" s="264">
        <f t="shared" si="43"/>
        <v>0</v>
      </c>
      <c r="Z169" s="263"/>
      <c r="AA169" s="264">
        <f t="shared" si="44"/>
        <v>0</v>
      </c>
      <c r="AB169" s="263"/>
      <c r="AC169" s="264">
        <f t="shared" si="45"/>
        <v>0</v>
      </c>
      <c r="AD169" s="263"/>
      <c r="AE169" s="264">
        <f t="shared" si="46"/>
        <v>0</v>
      </c>
      <c r="AF169" s="263"/>
      <c r="AG169" s="264">
        <f t="shared" si="47"/>
        <v>0</v>
      </c>
      <c r="AH169" s="263"/>
      <c r="AI169" s="264">
        <f t="shared" si="48"/>
        <v>0</v>
      </c>
      <c r="AJ169" s="263"/>
      <c r="AK169" s="264">
        <f t="shared" si="49"/>
        <v>0</v>
      </c>
      <c r="AL169" s="263"/>
      <c r="AM169" s="264">
        <f t="shared" si="50"/>
        <v>0</v>
      </c>
      <c r="AN169" s="267">
        <f t="shared" si="51"/>
        <v>0</v>
      </c>
      <c r="AO169" s="268"/>
      <c r="AP169" s="158"/>
    </row>
    <row r="170" spans="1:42" thickBot="1">
      <c r="A170" s="106"/>
      <c r="B170" s="157"/>
      <c r="C170" s="157"/>
      <c r="D170" s="104"/>
      <c r="E170" s="105"/>
      <c r="F170" s="105"/>
      <c r="G170" s="105"/>
      <c r="H170" s="103"/>
      <c r="I170" s="157"/>
      <c r="J170" s="103"/>
      <c r="K170" s="103"/>
      <c r="L170" s="105"/>
      <c r="M170" s="105"/>
      <c r="N170" s="107"/>
      <c r="O170" s="105"/>
      <c r="P170" s="263"/>
      <c r="Q170" s="264">
        <f t="shared" si="39"/>
        <v>0</v>
      </c>
      <c r="R170" s="263"/>
      <c r="S170" s="264">
        <f t="shared" si="40"/>
        <v>0</v>
      </c>
      <c r="T170" s="263"/>
      <c r="U170" s="264">
        <f t="shared" si="41"/>
        <v>0</v>
      </c>
      <c r="V170" s="263"/>
      <c r="W170" s="264">
        <f t="shared" si="42"/>
        <v>0</v>
      </c>
      <c r="X170" s="263"/>
      <c r="Y170" s="264">
        <f t="shared" si="43"/>
        <v>0</v>
      </c>
      <c r="Z170" s="263"/>
      <c r="AA170" s="264">
        <f t="shared" si="44"/>
        <v>0</v>
      </c>
      <c r="AB170" s="263"/>
      <c r="AC170" s="264">
        <f t="shared" si="45"/>
        <v>0</v>
      </c>
      <c r="AD170" s="263"/>
      <c r="AE170" s="264">
        <f t="shared" si="46"/>
        <v>0</v>
      </c>
      <c r="AF170" s="263"/>
      <c r="AG170" s="264">
        <f t="shared" si="47"/>
        <v>0</v>
      </c>
      <c r="AH170" s="263"/>
      <c r="AI170" s="264">
        <f t="shared" si="48"/>
        <v>0</v>
      </c>
      <c r="AJ170" s="263"/>
      <c r="AK170" s="264">
        <f t="shared" si="49"/>
        <v>0</v>
      </c>
      <c r="AL170" s="263"/>
      <c r="AM170" s="264">
        <f t="shared" si="50"/>
        <v>0</v>
      </c>
      <c r="AN170" s="267">
        <f t="shared" si="51"/>
        <v>0</v>
      </c>
      <c r="AO170" s="268"/>
      <c r="AP170" s="158"/>
    </row>
    <row r="171" spans="1:42" thickBot="1">
      <c r="A171" s="106"/>
      <c r="B171" s="157"/>
      <c r="C171" s="157"/>
      <c r="D171" s="104"/>
      <c r="E171" s="105"/>
      <c r="F171" s="105"/>
      <c r="G171" s="105"/>
      <c r="H171" s="103"/>
      <c r="I171" s="157"/>
      <c r="J171" s="103"/>
      <c r="K171" s="103"/>
      <c r="L171" s="105"/>
      <c r="M171" s="105"/>
      <c r="N171" s="107"/>
      <c r="O171" s="105"/>
      <c r="P171" s="263"/>
      <c r="Q171" s="264">
        <f t="shared" si="39"/>
        <v>0</v>
      </c>
      <c r="R171" s="263"/>
      <c r="S171" s="264">
        <f t="shared" si="40"/>
        <v>0</v>
      </c>
      <c r="T171" s="263"/>
      <c r="U171" s="264">
        <f t="shared" si="41"/>
        <v>0</v>
      </c>
      <c r="V171" s="263"/>
      <c r="W171" s="264">
        <f t="shared" si="42"/>
        <v>0</v>
      </c>
      <c r="X171" s="263"/>
      <c r="Y171" s="264">
        <f t="shared" si="43"/>
        <v>0</v>
      </c>
      <c r="Z171" s="263"/>
      <c r="AA171" s="264">
        <f t="shared" si="44"/>
        <v>0</v>
      </c>
      <c r="AB171" s="263"/>
      <c r="AC171" s="264">
        <f t="shared" si="45"/>
        <v>0</v>
      </c>
      <c r="AD171" s="263"/>
      <c r="AE171" s="264">
        <f t="shared" si="46"/>
        <v>0</v>
      </c>
      <c r="AF171" s="263"/>
      <c r="AG171" s="264">
        <f t="shared" si="47"/>
        <v>0</v>
      </c>
      <c r="AH171" s="263"/>
      <c r="AI171" s="264">
        <f t="shared" si="48"/>
        <v>0</v>
      </c>
      <c r="AJ171" s="263"/>
      <c r="AK171" s="264">
        <f t="shared" si="49"/>
        <v>0</v>
      </c>
      <c r="AL171" s="263"/>
      <c r="AM171" s="264">
        <f t="shared" si="50"/>
        <v>0</v>
      </c>
      <c r="AN171" s="267">
        <f t="shared" si="51"/>
        <v>0</v>
      </c>
      <c r="AO171" s="268"/>
      <c r="AP171" s="158"/>
    </row>
    <row r="172" spans="1:42" thickBot="1">
      <c r="A172" s="106"/>
      <c r="B172" s="157"/>
      <c r="C172" s="157"/>
      <c r="D172" s="104"/>
      <c r="E172" s="105"/>
      <c r="F172" s="105"/>
      <c r="G172" s="105"/>
      <c r="H172" s="103"/>
      <c r="I172" s="157"/>
      <c r="J172" s="103"/>
      <c r="K172" s="103"/>
      <c r="L172" s="105"/>
      <c r="M172" s="105"/>
      <c r="N172" s="107"/>
      <c r="O172" s="105"/>
      <c r="P172" s="263"/>
      <c r="Q172" s="264">
        <f t="shared" si="39"/>
        <v>0</v>
      </c>
      <c r="R172" s="263"/>
      <c r="S172" s="264">
        <f t="shared" si="40"/>
        <v>0</v>
      </c>
      <c r="T172" s="263"/>
      <c r="U172" s="264">
        <f t="shared" si="41"/>
        <v>0</v>
      </c>
      <c r="V172" s="263"/>
      <c r="W172" s="264">
        <f t="shared" si="42"/>
        <v>0</v>
      </c>
      <c r="X172" s="263"/>
      <c r="Y172" s="264">
        <f t="shared" si="43"/>
        <v>0</v>
      </c>
      <c r="Z172" s="263"/>
      <c r="AA172" s="264">
        <f t="shared" si="44"/>
        <v>0</v>
      </c>
      <c r="AB172" s="263"/>
      <c r="AC172" s="264">
        <f t="shared" si="45"/>
        <v>0</v>
      </c>
      <c r="AD172" s="263"/>
      <c r="AE172" s="264">
        <f t="shared" si="46"/>
        <v>0</v>
      </c>
      <c r="AF172" s="263"/>
      <c r="AG172" s="264">
        <f t="shared" si="47"/>
        <v>0</v>
      </c>
      <c r="AH172" s="263"/>
      <c r="AI172" s="264">
        <f t="shared" si="48"/>
        <v>0</v>
      </c>
      <c r="AJ172" s="263"/>
      <c r="AK172" s="264">
        <f t="shared" si="49"/>
        <v>0</v>
      </c>
      <c r="AL172" s="263"/>
      <c r="AM172" s="264">
        <f t="shared" si="50"/>
        <v>0</v>
      </c>
      <c r="AN172" s="267">
        <f t="shared" si="51"/>
        <v>0</v>
      </c>
      <c r="AO172" s="268"/>
      <c r="AP172" s="158"/>
    </row>
    <row r="173" spans="1:42" thickBot="1">
      <c r="A173" s="106"/>
      <c r="B173" s="157"/>
      <c r="C173" s="157"/>
      <c r="D173" s="104"/>
      <c r="E173" s="105"/>
      <c r="F173" s="105"/>
      <c r="G173" s="105"/>
      <c r="H173" s="103"/>
      <c r="I173" s="157"/>
      <c r="J173" s="103"/>
      <c r="K173" s="103"/>
      <c r="L173" s="105"/>
      <c r="M173" s="105"/>
      <c r="N173" s="107"/>
      <c r="O173" s="105"/>
      <c r="P173" s="263"/>
      <c r="Q173" s="264">
        <f t="shared" si="39"/>
        <v>0</v>
      </c>
      <c r="R173" s="263"/>
      <c r="S173" s="264">
        <f t="shared" si="40"/>
        <v>0</v>
      </c>
      <c r="T173" s="263"/>
      <c r="U173" s="264">
        <f t="shared" si="41"/>
        <v>0</v>
      </c>
      <c r="V173" s="263"/>
      <c r="W173" s="264">
        <f t="shared" si="42"/>
        <v>0</v>
      </c>
      <c r="X173" s="263"/>
      <c r="Y173" s="264">
        <f t="shared" si="43"/>
        <v>0</v>
      </c>
      <c r="Z173" s="263"/>
      <c r="AA173" s="264">
        <f t="shared" si="44"/>
        <v>0</v>
      </c>
      <c r="AB173" s="263"/>
      <c r="AC173" s="264">
        <f t="shared" si="45"/>
        <v>0</v>
      </c>
      <c r="AD173" s="263"/>
      <c r="AE173" s="264">
        <f t="shared" si="46"/>
        <v>0</v>
      </c>
      <c r="AF173" s="263"/>
      <c r="AG173" s="264">
        <f t="shared" si="47"/>
        <v>0</v>
      </c>
      <c r="AH173" s="263"/>
      <c r="AI173" s="264">
        <f t="shared" si="48"/>
        <v>0</v>
      </c>
      <c r="AJ173" s="263"/>
      <c r="AK173" s="264">
        <f t="shared" si="49"/>
        <v>0</v>
      </c>
      <c r="AL173" s="263"/>
      <c r="AM173" s="264">
        <f t="shared" si="50"/>
        <v>0</v>
      </c>
      <c r="AN173" s="267">
        <f t="shared" si="51"/>
        <v>0</v>
      </c>
      <c r="AO173" s="268"/>
      <c r="AP173" s="158"/>
    </row>
    <row r="174" spans="1:42" thickBot="1">
      <c r="A174" s="106"/>
      <c r="B174" s="157"/>
      <c r="C174" s="157"/>
      <c r="D174" s="104"/>
      <c r="E174" s="105"/>
      <c r="F174" s="105"/>
      <c r="G174" s="105"/>
      <c r="H174" s="103"/>
      <c r="I174" s="157"/>
      <c r="J174" s="103"/>
      <c r="K174" s="103"/>
      <c r="L174" s="105"/>
      <c r="M174" s="105"/>
      <c r="N174" s="107"/>
      <c r="O174" s="105"/>
      <c r="P174" s="263"/>
      <c r="Q174" s="264">
        <f t="shared" si="39"/>
        <v>0</v>
      </c>
      <c r="R174" s="263"/>
      <c r="S174" s="264">
        <f t="shared" si="40"/>
        <v>0</v>
      </c>
      <c r="T174" s="263"/>
      <c r="U174" s="264">
        <f t="shared" si="41"/>
        <v>0</v>
      </c>
      <c r="V174" s="263"/>
      <c r="W174" s="264">
        <f t="shared" si="42"/>
        <v>0</v>
      </c>
      <c r="X174" s="263"/>
      <c r="Y174" s="264">
        <f t="shared" si="43"/>
        <v>0</v>
      </c>
      <c r="Z174" s="263"/>
      <c r="AA174" s="264">
        <f t="shared" si="44"/>
        <v>0</v>
      </c>
      <c r="AB174" s="263"/>
      <c r="AC174" s="264">
        <f t="shared" si="45"/>
        <v>0</v>
      </c>
      <c r="AD174" s="263"/>
      <c r="AE174" s="264">
        <f t="shared" si="46"/>
        <v>0</v>
      </c>
      <c r="AF174" s="263"/>
      <c r="AG174" s="264">
        <f t="shared" si="47"/>
        <v>0</v>
      </c>
      <c r="AH174" s="263"/>
      <c r="AI174" s="264">
        <f t="shared" si="48"/>
        <v>0</v>
      </c>
      <c r="AJ174" s="263"/>
      <c r="AK174" s="264">
        <f t="shared" si="49"/>
        <v>0</v>
      </c>
      <c r="AL174" s="263"/>
      <c r="AM174" s="264">
        <f t="shared" si="50"/>
        <v>0</v>
      </c>
      <c r="AN174" s="267">
        <f t="shared" si="51"/>
        <v>0</v>
      </c>
      <c r="AO174" s="268"/>
      <c r="AP174" s="158"/>
    </row>
    <row r="175" spans="1:42" thickBot="1">
      <c r="A175" s="106"/>
      <c r="B175" s="157"/>
      <c r="C175" s="157"/>
      <c r="D175" s="104"/>
      <c r="E175" s="105"/>
      <c r="F175" s="105"/>
      <c r="G175" s="105"/>
      <c r="H175" s="103"/>
      <c r="I175" s="157"/>
      <c r="J175" s="103"/>
      <c r="K175" s="103"/>
      <c r="L175" s="105"/>
      <c r="M175" s="105"/>
      <c r="N175" s="107"/>
      <c r="O175" s="105"/>
      <c r="P175" s="263"/>
      <c r="Q175" s="264">
        <f t="shared" si="39"/>
        <v>0</v>
      </c>
      <c r="R175" s="263"/>
      <c r="S175" s="264">
        <f t="shared" si="40"/>
        <v>0</v>
      </c>
      <c r="T175" s="263"/>
      <c r="U175" s="264">
        <f t="shared" si="41"/>
        <v>0</v>
      </c>
      <c r="V175" s="263"/>
      <c r="W175" s="264">
        <f t="shared" si="42"/>
        <v>0</v>
      </c>
      <c r="X175" s="263"/>
      <c r="Y175" s="264">
        <f t="shared" si="43"/>
        <v>0</v>
      </c>
      <c r="Z175" s="263"/>
      <c r="AA175" s="264">
        <f t="shared" si="44"/>
        <v>0</v>
      </c>
      <c r="AB175" s="263"/>
      <c r="AC175" s="264">
        <f t="shared" si="45"/>
        <v>0</v>
      </c>
      <c r="AD175" s="263"/>
      <c r="AE175" s="264">
        <f t="shared" si="46"/>
        <v>0</v>
      </c>
      <c r="AF175" s="263"/>
      <c r="AG175" s="264">
        <f t="shared" si="47"/>
        <v>0</v>
      </c>
      <c r="AH175" s="263"/>
      <c r="AI175" s="264">
        <f t="shared" si="48"/>
        <v>0</v>
      </c>
      <c r="AJ175" s="263"/>
      <c r="AK175" s="264">
        <f t="shared" si="49"/>
        <v>0</v>
      </c>
      <c r="AL175" s="263"/>
      <c r="AM175" s="264">
        <f t="shared" si="50"/>
        <v>0</v>
      </c>
      <c r="AN175" s="267">
        <f t="shared" si="51"/>
        <v>0</v>
      </c>
      <c r="AO175" s="268"/>
      <c r="AP175" s="158"/>
    </row>
    <row r="176" spans="1:42" thickBot="1">
      <c r="A176" s="106"/>
      <c r="B176" s="157"/>
      <c r="C176" s="157"/>
      <c r="D176" s="104"/>
      <c r="E176" s="105"/>
      <c r="F176" s="105"/>
      <c r="G176" s="105"/>
      <c r="H176" s="103"/>
      <c r="I176" s="157"/>
      <c r="J176" s="103"/>
      <c r="K176" s="103"/>
      <c r="L176" s="105"/>
      <c r="M176" s="105"/>
      <c r="N176" s="107"/>
      <c r="O176" s="105"/>
      <c r="P176" s="263"/>
      <c r="Q176" s="264">
        <f t="shared" si="39"/>
        <v>0</v>
      </c>
      <c r="R176" s="263"/>
      <c r="S176" s="264">
        <f t="shared" si="40"/>
        <v>0</v>
      </c>
      <c r="T176" s="263"/>
      <c r="U176" s="264">
        <f t="shared" si="41"/>
        <v>0</v>
      </c>
      <c r="V176" s="263"/>
      <c r="W176" s="264">
        <f t="shared" si="42"/>
        <v>0</v>
      </c>
      <c r="X176" s="263"/>
      <c r="Y176" s="264">
        <f t="shared" si="43"/>
        <v>0</v>
      </c>
      <c r="Z176" s="263"/>
      <c r="AA176" s="264">
        <f t="shared" si="44"/>
        <v>0</v>
      </c>
      <c r="AB176" s="263"/>
      <c r="AC176" s="264">
        <f t="shared" si="45"/>
        <v>0</v>
      </c>
      <c r="AD176" s="263"/>
      <c r="AE176" s="264">
        <f t="shared" si="46"/>
        <v>0</v>
      </c>
      <c r="AF176" s="263"/>
      <c r="AG176" s="264">
        <f t="shared" si="47"/>
        <v>0</v>
      </c>
      <c r="AH176" s="263"/>
      <c r="AI176" s="264">
        <f t="shared" si="48"/>
        <v>0</v>
      </c>
      <c r="AJ176" s="263"/>
      <c r="AK176" s="264">
        <f t="shared" si="49"/>
        <v>0</v>
      </c>
      <c r="AL176" s="263"/>
      <c r="AM176" s="264">
        <f t="shared" si="50"/>
        <v>0</v>
      </c>
      <c r="AN176" s="267">
        <f t="shared" si="51"/>
        <v>0</v>
      </c>
      <c r="AO176" s="268"/>
      <c r="AP176" s="158"/>
    </row>
    <row r="177" spans="1:49" thickBot="1">
      <c r="A177" s="106"/>
      <c r="B177" s="157"/>
      <c r="C177" s="157"/>
      <c r="D177" s="104"/>
      <c r="E177" s="105"/>
      <c r="F177" s="105"/>
      <c r="G177" s="105"/>
      <c r="H177" s="103"/>
      <c r="I177" s="157"/>
      <c r="J177" s="103"/>
      <c r="K177" s="103"/>
      <c r="L177" s="105"/>
      <c r="M177" s="105"/>
      <c r="N177" s="107"/>
      <c r="O177" s="105"/>
      <c r="P177" s="263"/>
      <c r="Q177" s="264">
        <f t="shared" si="39"/>
        <v>0</v>
      </c>
      <c r="R177" s="263"/>
      <c r="S177" s="264">
        <f t="shared" si="40"/>
        <v>0</v>
      </c>
      <c r="T177" s="263"/>
      <c r="U177" s="264">
        <f t="shared" si="41"/>
        <v>0</v>
      </c>
      <c r="V177" s="263"/>
      <c r="W177" s="264">
        <f t="shared" si="42"/>
        <v>0</v>
      </c>
      <c r="X177" s="263"/>
      <c r="Y177" s="264">
        <f t="shared" si="43"/>
        <v>0</v>
      </c>
      <c r="Z177" s="263"/>
      <c r="AA177" s="264">
        <f t="shared" si="44"/>
        <v>0</v>
      </c>
      <c r="AB177" s="263"/>
      <c r="AC177" s="264">
        <f t="shared" si="45"/>
        <v>0</v>
      </c>
      <c r="AD177" s="263"/>
      <c r="AE177" s="264">
        <f t="shared" si="46"/>
        <v>0</v>
      </c>
      <c r="AF177" s="263"/>
      <c r="AG177" s="264">
        <f t="shared" si="47"/>
        <v>0</v>
      </c>
      <c r="AH177" s="263"/>
      <c r="AI177" s="264">
        <f t="shared" si="48"/>
        <v>0</v>
      </c>
      <c r="AJ177" s="263"/>
      <c r="AK177" s="264">
        <f t="shared" si="49"/>
        <v>0</v>
      </c>
      <c r="AL177" s="263"/>
      <c r="AM177" s="264">
        <f t="shared" si="50"/>
        <v>0</v>
      </c>
      <c r="AN177" s="267">
        <f t="shared" si="51"/>
        <v>0</v>
      </c>
      <c r="AO177" s="268"/>
      <c r="AP177" s="158"/>
    </row>
    <row r="178" spans="1:49" thickBot="1">
      <c r="A178" s="106"/>
      <c r="B178" s="157"/>
      <c r="C178" s="157"/>
      <c r="D178" s="104"/>
      <c r="E178" s="105"/>
      <c r="F178" s="105"/>
      <c r="G178" s="105"/>
      <c r="H178" s="103"/>
      <c r="I178" s="157"/>
      <c r="J178" s="103"/>
      <c r="K178" s="103"/>
      <c r="L178" s="105"/>
      <c r="M178" s="105"/>
      <c r="N178" s="107"/>
      <c r="O178" s="105"/>
      <c r="P178" s="263"/>
      <c r="Q178" s="264">
        <f t="shared" si="39"/>
        <v>0</v>
      </c>
      <c r="R178" s="263"/>
      <c r="S178" s="264">
        <f t="shared" si="40"/>
        <v>0</v>
      </c>
      <c r="T178" s="263"/>
      <c r="U178" s="264">
        <f t="shared" si="41"/>
        <v>0</v>
      </c>
      <c r="V178" s="263"/>
      <c r="W178" s="264">
        <f t="shared" si="42"/>
        <v>0</v>
      </c>
      <c r="X178" s="263"/>
      <c r="Y178" s="264">
        <f t="shared" si="43"/>
        <v>0</v>
      </c>
      <c r="Z178" s="263"/>
      <c r="AA178" s="264">
        <f t="shared" si="44"/>
        <v>0</v>
      </c>
      <c r="AB178" s="263"/>
      <c r="AC178" s="264">
        <f t="shared" si="45"/>
        <v>0</v>
      </c>
      <c r="AD178" s="263"/>
      <c r="AE178" s="264">
        <f t="shared" si="46"/>
        <v>0</v>
      </c>
      <c r="AF178" s="263"/>
      <c r="AG178" s="264">
        <f t="shared" si="47"/>
        <v>0</v>
      </c>
      <c r="AH178" s="263"/>
      <c r="AI178" s="264">
        <f t="shared" si="48"/>
        <v>0</v>
      </c>
      <c r="AJ178" s="263"/>
      <c r="AK178" s="264">
        <f t="shared" si="49"/>
        <v>0</v>
      </c>
      <c r="AL178" s="263"/>
      <c r="AM178" s="264">
        <f t="shared" si="50"/>
        <v>0</v>
      </c>
      <c r="AN178" s="267">
        <f t="shared" si="51"/>
        <v>0</v>
      </c>
      <c r="AO178" s="268"/>
      <c r="AP178" s="158"/>
    </row>
    <row r="179" spans="1:49" thickBot="1">
      <c r="A179" s="106"/>
      <c r="B179" s="157"/>
      <c r="C179" s="157"/>
      <c r="D179" s="104"/>
      <c r="E179" s="105"/>
      <c r="F179" s="105"/>
      <c r="G179" s="105"/>
      <c r="H179" s="103"/>
      <c r="I179" s="157"/>
      <c r="J179" s="103"/>
      <c r="K179" s="103"/>
      <c r="L179" s="105"/>
      <c r="M179" s="105"/>
      <c r="N179" s="107"/>
      <c r="O179" s="105"/>
      <c r="P179" s="263"/>
      <c r="Q179" s="264">
        <f t="shared" si="39"/>
        <v>0</v>
      </c>
      <c r="R179" s="263"/>
      <c r="S179" s="264">
        <f t="shared" si="40"/>
        <v>0</v>
      </c>
      <c r="T179" s="263"/>
      <c r="U179" s="264">
        <f t="shared" si="41"/>
        <v>0</v>
      </c>
      <c r="V179" s="263"/>
      <c r="W179" s="264">
        <f t="shared" si="42"/>
        <v>0</v>
      </c>
      <c r="X179" s="263"/>
      <c r="Y179" s="264">
        <f t="shared" si="43"/>
        <v>0</v>
      </c>
      <c r="Z179" s="263"/>
      <c r="AA179" s="264">
        <f t="shared" si="44"/>
        <v>0</v>
      </c>
      <c r="AB179" s="263"/>
      <c r="AC179" s="264">
        <f t="shared" si="45"/>
        <v>0</v>
      </c>
      <c r="AD179" s="263"/>
      <c r="AE179" s="264">
        <f t="shared" si="46"/>
        <v>0</v>
      </c>
      <c r="AF179" s="263"/>
      <c r="AG179" s="264">
        <f t="shared" si="47"/>
        <v>0</v>
      </c>
      <c r="AH179" s="263"/>
      <c r="AI179" s="264">
        <f t="shared" si="48"/>
        <v>0</v>
      </c>
      <c r="AJ179" s="263"/>
      <c r="AK179" s="264">
        <f t="shared" si="49"/>
        <v>0</v>
      </c>
      <c r="AL179" s="263"/>
      <c r="AM179" s="264">
        <f t="shared" si="50"/>
        <v>0</v>
      </c>
      <c r="AN179" s="267">
        <f t="shared" si="51"/>
        <v>0</v>
      </c>
      <c r="AO179" s="268"/>
      <c r="AP179" s="158"/>
    </row>
    <row r="180" spans="1:49" thickBot="1">
      <c r="A180" s="106"/>
      <c r="B180" s="157"/>
      <c r="C180" s="157"/>
      <c r="D180" s="104"/>
      <c r="E180" s="105"/>
      <c r="F180" s="105"/>
      <c r="G180" s="105"/>
      <c r="H180" s="103"/>
      <c r="I180" s="157"/>
      <c r="J180" s="103"/>
      <c r="K180" s="103"/>
      <c r="L180" s="105"/>
      <c r="M180" s="105"/>
      <c r="N180" s="107"/>
      <c r="O180" s="105"/>
      <c r="P180" s="263"/>
      <c r="Q180" s="264">
        <f t="shared" si="39"/>
        <v>0</v>
      </c>
      <c r="R180" s="263"/>
      <c r="S180" s="264">
        <f t="shared" si="40"/>
        <v>0</v>
      </c>
      <c r="T180" s="263"/>
      <c r="U180" s="264">
        <f t="shared" si="41"/>
        <v>0</v>
      </c>
      <c r="V180" s="263"/>
      <c r="W180" s="264">
        <f t="shared" si="42"/>
        <v>0</v>
      </c>
      <c r="X180" s="263"/>
      <c r="Y180" s="264">
        <f t="shared" si="43"/>
        <v>0</v>
      </c>
      <c r="Z180" s="263"/>
      <c r="AA180" s="264">
        <f t="shared" si="44"/>
        <v>0</v>
      </c>
      <c r="AB180" s="263"/>
      <c r="AC180" s="264">
        <f t="shared" si="45"/>
        <v>0</v>
      </c>
      <c r="AD180" s="263"/>
      <c r="AE180" s="264">
        <f t="shared" si="46"/>
        <v>0</v>
      </c>
      <c r="AF180" s="263"/>
      <c r="AG180" s="264">
        <f t="shared" si="47"/>
        <v>0</v>
      </c>
      <c r="AH180" s="263"/>
      <c r="AI180" s="264">
        <f t="shared" si="48"/>
        <v>0</v>
      </c>
      <c r="AJ180" s="263"/>
      <c r="AK180" s="264">
        <f t="shared" si="49"/>
        <v>0</v>
      </c>
      <c r="AL180" s="263"/>
      <c r="AM180" s="264">
        <f t="shared" si="50"/>
        <v>0</v>
      </c>
      <c r="AN180" s="267">
        <f t="shared" si="51"/>
        <v>0</v>
      </c>
      <c r="AO180" s="268"/>
      <c r="AP180" s="158"/>
    </row>
    <row r="181" spans="1:49" thickBot="1">
      <c r="A181" s="106"/>
      <c r="B181" s="157"/>
      <c r="C181" s="157"/>
      <c r="D181" s="104"/>
      <c r="E181" s="105"/>
      <c r="F181" s="105"/>
      <c r="G181" s="105"/>
      <c r="H181" s="103"/>
      <c r="I181" s="157"/>
      <c r="J181" s="103"/>
      <c r="K181" s="103"/>
      <c r="L181" s="105"/>
      <c r="M181" s="105"/>
      <c r="N181" s="107"/>
      <c r="O181" s="105"/>
      <c r="P181" s="263"/>
      <c r="Q181" s="264">
        <f t="shared" si="39"/>
        <v>0</v>
      </c>
      <c r="R181" s="263"/>
      <c r="S181" s="264">
        <f t="shared" si="40"/>
        <v>0</v>
      </c>
      <c r="T181" s="263"/>
      <c r="U181" s="264">
        <f t="shared" si="41"/>
        <v>0</v>
      </c>
      <c r="V181" s="263"/>
      <c r="W181" s="264">
        <f t="shared" si="42"/>
        <v>0</v>
      </c>
      <c r="X181" s="263"/>
      <c r="Y181" s="264">
        <f t="shared" si="43"/>
        <v>0</v>
      </c>
      <c r="Z181" s="263"/>
      <c r="AA181" s="264">
        <f t="shared" si="44"/>
        <v>0</v>
      </c>
      <c r="AB181" s="263"/>
      <c r="AC181" s="264">
        <f t="shared" si="45"/>
        <v>0</v>
      </c>
      <c r="AD181" s="263"/>
      <c r="AE181" s="264">
        <f t="shared" si="46"/>
        <v>0</v>
      </c>
      <c r="AF181" s="263"/>
      <c r="AG181" s="264">
        <f t="shared" si="47"/>
        <v>0</v>
      </c>
      <c r="AH181" s="263"/>
      <c r="AI181" s="264">
        <f t="shared" si="48"/>
        <v>0</v>
      </c>
      <c r="AJ181" s="263"/>
      <c r="AK181" s="264">
        <f t="shared" si="49"/>
        <v>0</v>
      </c>
      <c r="AL181" s="263"/>
      <c r="AM181" s="264">
        <f t="shared" si="50"/>
        <v>0</v>
      </c>
      <c r="AN181" s="267">
        <f t="shared" si="51"/>
        <v>0</v>
      </c>
      <c r="AO181" s="268"/>
      <c r="AP181" s="158"/>
    </row>
    <row r="182" spans="1:49" thickBot="1">
      <c r="A182" s="106"/>
      <c r="B182" s="157"/>
      <c r="C182" s="157"/>
      <c r="D182" s="104"/>
      <c r="E182" s="105"/>
      <c r="F182" s="105"/>
      <c r="G182" s="105"/>
      <c r="H182" s="103"/>
      <c r="I182" s="157"/>
      <c r="J182" s="103"/>
      <c r="K182" s="103"/>
      <c r="L182" s="105"/>
      <c r="M182" s="105"/>
      <c r="N182" s="107"/>
      <c r="O182" s="105"/>
      <c r="P182" s="263"/>
      <c r="Q182" s="264">
        <f t="shared" si="39"/>
        <v>0</v>
      </c>
      <c r="R182" s="263"/>
      <c r="S182" s="264">
        <f t="shared" si="40"/>
        <v>0</v>
      </c>
      <c r="T182" s="263"/>
      <c r="U182" s="264">
        <f t="shared" si="41"/>
        <v>0</v>
      </c>
      <c r="V182" s="263"/>
      <c r="W182" s="264">
        <f t="shared" si="42"/>
        <v>0</v>
      </c>
      <c r="X182" s="263"/>
      <c r="Y182" s="264">
        <f t="shared" si="43"/>
        <v>0</v>
      </c>
      <c r="Z182" s="263"/>
      <c r="AA182" s="264">
        <f t="shared" si="44"/>
        <v>0</v>
      </c>
      <c r="AB182" s="263"/>
      <c r="AC182" s="264">
        <f t="shared" si="45"/>
        <v>0</v>
      </c>
      <c r="AD182" s="263"/>
      <c r="AE182" s="264">
        <f t="shared" si="46"/>
        <v>0</v>
      </c>
      <c r="AF182" s="263"/>
      <c r="AG182" s="264">
        <f t="shared" si="47"/>
        <v>0</v>
      </c>
      <c r="AH182" s="263"/>
      <c r="AI182" s="264">
        <f t="shared" si="48"/>
        <v>0</v>
      </c>
      <c r="AJ182" s="263"/>
      <c r="AK182" s="264">
        <f t="shared" si="49"/>
        <v>0</v>
      </c>
      <c r="AL182" s="263"/>
      <c r="AM182" s="264">
        <f t="shared" si="50"/>
        <v>0</v>
      </c>
      <c r="AN182" s="267">
        <f t="shared" si="51"/>
        <v>0</v>
      </c>
      <c r="AO182" s="268"/>
      <c r="AP182" s="158"/>
    </row>
    <row r="183" spans="1:49" thickBot="1">
      <c r="A183" s="106"/>
      <c r="B183" s="157"/>
      <c r="C183" s="157"/>
      <c r="D183" s="104"/>
      <c r="E183" s="105"/>
      <c r="F183" s="105"/>
      <c r="G183" s="105"/>
      <c r="H183" s="103"/>
      <c r="I183" s="157"/>
      <c r="J183" s="103"/>
      <c r="K183" s="103"/>
      <c r="L183" s="105"/>
      <c r="M183" s="105"/>
      <c r="N183" s="107"/>
      <c r="O183" s="105"/>
      <c r="P183" s="263"/>
      <c r="Q183" s="264">
        <f t="shared" si="39"/>
        <v>0</v>
      </c>
      <c r="R183" s="263"/>
      <c r="S183" s="264">
        <f t="shared" si="40"/>
        <v>0</v>
      </c>
      <c r="T183" s="263"/>
      <c r="U183" s="264">
        <f t="shared" si="41"/>
        <v>0</v>
      </c>
      <c r="V183" s="263"/>
      <c r="W183" s="264">
        <f t="shared" si="42"/>
        <v>0</v>
      </c>
      <c r="X183" s="263"/>
      <c r="Y183" s="264">
        <f t="shared" si="43"/>
        <v>0</v>
      </c>
      <c r="Z183" s="263"/>
      <c r="AA183" s="264">
        <f t="shared" si="44"/>
        <v>0</v>
      </c>
      <c r="AB183" s="263"/>
      <c r="AC183" s="264">
        <f t="shared" si="45"/>
        <v>0</v>
      </c>
      <c r="AD183" s="263"/>
      <c r="AE183" s="264">
        <f t="shared" si="46"/>
        <v>0</v>
      </c>
      <c r="AF183" s="263"/>
      <c r="AG183" s="264">
        <f t="shared" si="47"/>
        <v>0</v>
      </c>
      <c r="AH183" s="263"/>
      <c r="AI183" s="264">
        <f t="shared" si="48"/>
        <v>0</v>
      </c>
      <c r="AJ183" s="263"/>
      <c r="AK183" s="264">
        <f t="shared" si="49"/>
        <v>0</v>
      </c>
      <c r="AL183" s="263"/>
      <c r="AM183" s="264">
        <f t="shared" si="50"/>
        <v>0</v>
      </c>
      <c r="AN183" s="267">
        <f t="shared" si="51"/>
        <v>0</v>
      </c>
      <c r="AO183" s="268"/>
      <c r="AP183" s="158"/>
    </row>
    <row r="184" spans="1:49" thickBot="1">
      <c r="A184" s="106"/>
      <c r="B184" s="157"/>
      <c r="C184" s="157"/>
      <c r="D184" s="104"/>
      <c r="E184" s="105"/>
      <c r="F184" s="105"/>
      <c r="G184" s="105"/>
      <c r="H184" s="103"/>
      <c r="I184" s="157"/>
      <c r="J184" s="103"/>
      <c r="K184" s="103"/>
      <c r="L184" s="105"/>
      <c r="M184" s="105"/>
      <c r="N184" s="107"/>
      <c r="O184" s="105"/>
      <c r="P184" s="263"/>
      <c r="Q184" s="264">
        <f t="shared" si="39"/>
        <v>0</v>
      </c>
      <c r="R184" s="263"/>
      <c r="S184" s="264">
        <f t="shared" si="40"/>
        <v>0</v>
      </c>
      <c r="T184" s="263"/>
      <c r="U184" s="264">
        <f t="shared" si="41"/>
        <v>0</v>
      </c>
      <c r="V184" s="263"/>
      <c r="W184" s="264">
        <f t="shared" si="42"/>
        <v>0</v>
      </c>
      <c r="X184" s="263"/>
      <c r="Y184" s="264">
        <f t="shared" si="43"/>
        <v>0</v>
      </c>
      <c r="Z184" s="263"/>
      <c r="AA184" s="264">
        <f t="shared" si="44"/>
        <v>0</v>
      </c>
      <c r="AB184" s="263"/>
      <c r="AC184" s="264">
        <f t="shared" si="45"/>
        <v>0</v>
      </c>
      <c r="AD184" s="263"/>
      <c r="AE184" s="264">
        <f t="shared" si="46"/>
        <v>0</v>
      </c>
      <c r="AF184" s="263"/>
      <c r="AG184" s="264">
        <f t="shared" si="47"/>
        <v>0</v>
      </c>
      <c r="AH184" s="263"/>
      <c r="AI184" s="264">
        <f t="shared" si="48"/>
        <v>0</v>
      </c>
      <c r="AJ184" s="263"/>
      <c r="AK184" s="264">
        <f t="shared" si="49"/>
        <v>0</v>
      </c>
      <c r="AL184" s="263"/>
      <c r="AM184" s="264">
        <f t="shared" si="50"/>
        <v>0</v>
      </c>
      <c r="AN184" s="267">
        <f t="shared" si="51"/>
        <v>0</v>
      </c>
      <c r="AO184" s="268"/>
      <c r="AP184" s="158"/>
    </row>
    <row r="185" spans="1:49" thickBot="1">
      <c r="A185" s="106"/>
      <c r="B185" s="157"/>
      <c r="C185" s="157"/>
      <c r="D185" s="104"/>
      <c r="E185" s="105"/>
      <c r="F185" s="105"/>
      <c r="G185" s="105"/>
      <c r="H185" s="103"/>
      <c r="I185" s="157"/>
      <c r="J185" s="103"/>
      <c r="K185" s="103"/>
      <c r="L185" s="105"/>
      <c r="M185" s="105"/>
      <c r="N185" s="107"/>
      <c r="O185" s="105"/>
      <c r="P185" s="263"/>
      <c r="Q185" s="264">
        <f t="shared" si="39"/>
        <v>0</v>
      </c>
      <c r="R185" s="263"/>
      <c r="S185" s="264">
        <f t="shared" si="40"/>
        <v>0</v>
      </c>
      <c r="T185" s="263"/>
      <c r="U185" s="264">
        <f t="shared" si="41"/>
        <v>0</v>
      </c>
      <c r="V185" s="263"/>
      <c r="W185" s="264">
        <f t="shared" si="42"/>
        <v>0</v>
      </c>
      <c r="X185" s="263"/>
      <c r="Y185" s="264">
        <f t="shared" si="43"/>
        <v>0</v>
      </c>
      <c r="Z185" s="263"/>
      <c r="AA185" s="264">
        <f t="shared" si="44"/>
        <v>0</v>
      </c>
      <c r="AB185" s="263"/>
      <c r="AC185" s="264">
        <f t="shared" si="45"/>
        <v>0</v>
      </c>
      <c r="AD185" s="263"/>
      <c r="AE185" s="264">
        <f t="shared" si="46"/>
        <v>0</v>
      </c>
      <c r="AF185" s="263"/>
      <c r="AG185" s="264">
        <f t="shared" si="47"/>
        <v>0</v>
      </c>
      <c r="AH185" s="263"/>
      <c r="AI185" s="264">
        <f t="shared" si="48"/>
        <v>0</v>
      </c>
      <c r="AJ185" s="263"/>
      <c r="AK185" s="264">
        <f t="shared" si="49"/>
        <v>0</v>
      </c>
      <c r="AL185" s="263"/>
      <c r="AM185" s="264">
        <f t="shared" si="50"/>
        <v>0</v>
      </c>
      <c r="AN185" s="267">
        <f t="shared" si="51"/>
        <v>0</v>
      </c>
      <c r="AO185" s="268"/>
      <c r="AP185" s="158"/>
    </row>
    <row r="186" spans="1:49" thickBot="1">
      <c r="A186" s="106"/>
      <c r="B186" s="157"/>
      <c r="C186" s="157"/>
      <c r="D186" s="104"/>
      <c r="E186" s="105"/>
      <c r="F186" s="105"/>
      <c r="G186" s="105"/>
      <c r="H186" s="103"/>
      <c r="I186" s="157"/>
      <c r="J186" s="103"/>
      <c r="K186" s="103"/>
      <c r="L186" s="105"/>
      <c r="M186" s="105"/>
      <c r="N186" s="107"/>
      <c r="O186" s="105"/>
      <c r="P186" s="263"/>
      <c r="Q186" s="264">
        <f t="shared" si="39"/>
        <v>0</v>
      </c>
      <c r="R186" s="263"/>
      <c r="S186" s="264">
        <f t="shared" si="40"/>
        <v>0</v>
      </c>
      <c r="T186" s="263"/>
      <c r="U186" s="264">
        <f t="shared" si="41"/>
        <v>0</v>
      </c>
      <c r="V186" s="263"/>
      <c r="W186" s="264">
        <f t="shared" si="42"/>
        <v>0</v>
      </c>
      <c r="X186" s="263"/>
      <c r="Y186" s="264">
        <f t="shared" si="43"/>
        <v>0</v>
      </c>
      <c r="Z186" s="263"/>
      <c r="AA186" s="264">
        <f t="shared" si="44"/>
        <v>0</v>
      </c>
      <c r="AB186" s="263"/>
      <c r="AC186" s="264">
        <f t="shared" si="45"/>
        <v>0</v>
      </c>
      <c r="AD186" s="263"/>
      <c r="AE186" s="264">
        <f t="shared" si="46"/>
        <v>0</v>
      </c>
      <c r="AF186" s="263"/>
      <c r="AG186" s="264">
        <f t="shared" si="47"/>
        <v>0</v>
      </c>
      <c r="AH186" s="263"/>
      <c r="AI186" s="264">
        <f t="shared" si="48"/>
        <v>0</v>
      </c>
      <c r="AJ186" s="263"/>
      <c r="AK186" s="264">
        <f t="shared" si="49"/>
        <v>0</v>
      </c>
      <c r="AL186" s="263"/>
      <c r="AM186" s="264">
        <f t="shared" si="50"/>
        <v>0</v>
      </c>
      <c r="AN186" s="267">
        <f t="shared" si="51"/>
        <v>0</v>
      </c>
      <c r="AO186" s="268"/>
      <c r="AP186" s="158"/>
    </row>
    <row r="187" spans="1:49" thickBot="1">
      <c r="A187" s="106"/>
      <c r="B187" s="157"/>
      <c r="C187" s="157"/>
      <c r="D187" s="104"/>
      <c r="E187" s="105"/>
      <c r="F187" s="105"/>
      <c r="G187" s="105"/>
      <c r="H187" s="103"/>
      <c r="I187" s="157"/>
      <c r="J187" s="103"/>
      <c r="K187" s="103"/>
      <c r="L187" s="105"/>
      <c r="M187" s="105"/>
      <c r="N187" s="107"/>
      <c r="O187" s="105"/>
      <c r="P187" s="263"/>
      <c r="Q187" s="264">
        <f t="shared" si="39"/>
        <v>0</v>
      </c>
      <c r="R187" s="263"/>
      <c r="S187" s="264">
        <f t="shared" si="40"/>
        <v>0</v>
      </c>
      <c r="T187" s="263"/>
      <c r="U187" s="264">
        <f t="shared" si="41"/>
        <v>0</v>
      </c>
      <c r="V187" s="263"/>
      <c r="W187" s="264">
        <f t="shared" si="42"/>
        <v>0</v>
      </c>
      <c r="X187" s="263"/>
      <c r="Y187" s="264">
        <f t="shared" si="43"/>
        <v>0</v>
      </c>
      <c r="Z187" s="263"/>
      <c r="AA187" s="264">
        <f t="shared" si="44"/>
        <v>0</v>
      </c>
      <c r="AB187" s="263"/>
      <c r="AC187" s="264">
        <f t="shared" si="45"/>
        <v>0</v>
      </c>
      <c r="AD187" s="263"/>
      <c r="AE187" s="264">
        <f t="shared" si="46"/>
        <v>0</v>
      </c>
      <c r="AF187" s="263"/>
      <c r="AG187" s="264">
        <f t="shared" si="47"/>
        <v>0</v>
      </c>
      <c r="AH187" s="263"/>
      <c r="AI187" s="264">
        <f t="shared" si="48"/>
        <v>0</v>
      </c>
      <c r="AJ187" s="263"/>
      <c r="AK187" s="264">
        <f t="shared" si="49"/>
        <v>0</v>
      </c>
      <c r="AL187" s="263"/>
      <c r="AM187" s="264">
        <f t="shared" si="50"/>
        <v>0</v>
      </c>
      <c r="AN187" s="267">
        <f t="shared" si="51"/>
        <v>0</v>
      </c>
      <c r="AO187" s="268"/>
      <c r="AP187" s="158"/>
    </row>
    <row r="188" spans="1:49" thickBot="1">
      <c r="A188" s="106"/>
      <c r="B188" s="157"/>
      <c r="C188" s="157"/>
      <c r="D188" s="104"/>
      <c r="E188" s="105"/>
      <c r="F188" s="105"/>
      <c r="G188" s="105"/>
      <c r="H188" s="103"/>
      <c r="I188" s="157"/>
      <c r="J188" s="103"/>
      <c r="K188" s="103"/>
      <c r="L188" s="105"/>
      <c r="M188" s="105"/>
      <c r="N188" s="107"/>
      <c r="O188" s="105"/>
      <c r="P188" s="263"/>
      <c r="Q188" s="264">
        <f t="shared" si="39"/>
        <v>0</v>
      </c>
      <c r="R188" s="263"/>
      <c r="S188" s="264">
        <f t="shared" si="40"/>
        <v>0</v>
      </c>
      <c r="T188" s="263"/>
      <c r="U188" s="264">
        <f t="shared" si="41"/>
        <v>0</v>
      </c>
      <c r="V188" s="263"/>
      <c r="W188" s="264">
        <f t="shared" si="42"/>
        <v>0</v>
      </c>
      <c r="X188" s="263"/>
      <c r="Y188" s="264">
        <f t="shared" si="43"/>
        <v>0</v>
      </c>
      <c r="Z188" s="263"/>
      <c r="AA188" s="264">
        <f t="shared" si="44"/>
        <v>0</v>
      </c>
      <c r="AB188" s="263"/>
      <c r="AC188" s="264">
        <f t="shared" si="45"/>
        <v>0</v>
      </c>
      <c r="AD188" s="263"/>
      <c r="AE188" s="264">
        <f t="shared" si="46"/>
        <v>0</v>
      </c>
      <c r="AF188" s="263"/>
      <c r="AG188" s="264">
        <f t="shared" si="47"/>
        <v>0</v>
      </c>
      <c r="AH188" s="263"/>
      <c r="AI188" s="264">
        <f t="shared" si="48"/>
        <v>0</v>
      </c>
      <c r="AJ188" s="263"/>
      <c r="AK188" s="264">
        <f t="shared" si="49"/>
        <v>0</v>
      </c>
      <c r="AL188" s="263"/>
      <c r="AM188" s="264">
        <f t="shared" si="50"/>
        <v>0</v>
      </c>
      <c r="AN188" s="267">
        <f t="shared" si="51"/>
        <v>0</v>
      </c>
      <c r="AO188" s="268"/>
      <c r="AP188" s="158"/>
    </row>
    <row r="189" spans="1:49" thickBot="1">
      <c r="A189" s="106"/>
      <c r="B189" s="157"/>
      <c r="C189" s="157"/>
      <c r="D189" s="104"/>
      <c r="E189" s="105"/>
      <c r="F189" s="105"/>
      <c r="G189" s="105"/>
      <c r="H189" s="103"/>
      <c r="I189" s="157"/>
      <c r="J189" s="103"/>
      <c r="K189" s="103"/>
      <c r="L189" s="105"/>
      <c r="M189" s="105"/>
      <c r="N189" s="107"/>
      <c r="O189" s="105"/>
      <c r="P189" s="263"/>
      <c r="Q189" s="264">
        <f t="shared" si="39"/>
        <v>0</v>
      </c>
      <c r="R189" s="263"/>
      <c r="S189" s="264">
        <f t="shared" si="40"/>
        <v>0</v>
      </c>
      <c r="T189" s="263"/>
      <c r="U189" s="264">
        <f t="shared" si="41"/>
        <v>0</v>
      </c>
      <c r="V189" s="263"/>
      <c r="W189" s="264">
        <f t="shared" si="42"/>
        <v>0</v>
      </c>
      <c r="X189" s="263"/>
      <c r="Y189" s="264">
        <f t="shared" si="43"/>
        <v>0</v>
      </c>
      <c r="Z189" s="263"/>
      <c r="AA189" s="264">
        <f t="shared" si="44"/>
        <v>0</v>
      </c>
      <c r="AB189" s="263"/>
      <c r="AC189" s="264">
        <f t="shared" si="45"/>
        <v>0</v>
      </c>
      <c r="AD189" s="263"/>
      <c r="AE189" s="264">
        <f t="shared" si="46"/>
        <v>0</v>
      </c>
      <c r="AF189" s="263"/>
      <c r="AG189" s="264">
        <f t="shared" si="47"/>
        <v>0</v>
      </c>
      <c r="AH189" s="263"/>
      <c r="AI189" s="264">
        <f t="shared" si="48"/>
        <v>0</v>
      </c>
      <c r="AJ189" s="263"/>
      <c r="AK189" s="264">
        <f t="shared" si="49"/>
        <v>0</v>
      </c>
      <c r="AL189" s="263"/>
      <c r="AM189" s="264">
        <f t="shared" si="50"/>
        <v>0</v>
      </c>
      <c r="AN189" s="267">
        <f t="shared" si="51"/>
        <v>0</v>
      </c>
      <c r="AO189" s="268"/>
      <c r="AP189" s="158"/>
    </row>
    <row r="190" spans="1:49" thickBot="1">
      <c r="A190" s="106"/>
      <c r="B190" s="157"/>
      <c r="C190" s="157"/>
      <c r="D190" s="104"/>
      <c r="E190" s="105"/>
      <c r="F190" s="105"/>
      <c r="G190" s="105"/>
      <c r="H190" s="103"/>
      <c r="I190" s="157"/>
      <c r="J190" s="103"/>
      <c r="K190" s="103"/>
      <c r="L190" s="105"/>
      <c r="M190" s="105"/>
      <c r="N190" s="107"/>
      <c r="O190" s="105"/>
      <c r="P190" s="263"/>
      <c r="Q190" s="264">
        <f t="shared" si="39"/>
        <v>0</v>
      </c>
      <c r="R190" s="263"/>
      <c r="S190" s="264">
        <f t="shared" si="40"/>
        <v>0</v>
      </c>
      <c r="T190" s="263"/>
      <c r="U190" s="264">
        <f t="shared" si="41"/>
        <v>0</v>
      </c>
      <c r="V190" s="263"/>
      <c r="W190" s="264">
        <f t="shared" si="42"/>
        <v>0</v>
      </c>
      <c r="X190" s="263"/>
      <c r="Y190" s="264">
        <f t="shared" si="43"/>
        <v>0</v>
      </c>
      <c r="Z190" s="263"/>
      <c r="AA190" s="264">
        <f t="shared" si="44"/>
        <v>0</v>
      </c>
      <c r="AB190" s="263"/>
      <c r="AC190" s="264">
        <f t="shared" si="45"/>
        <v>0</v>
      </c>
      <c r="AD190" s="263"/>
      <c r="AE190" s="264">
        <f t="shared" si="46"/>
        <v>0</v>
      </c>
      <c r="AF190" s="263"/>
      <c r="AG190" s="264">
        <f t="shared" si="47"/>
        <v>0</v>
      </c>
      <c r="AH190" s="263"/>
      <c r="AI190" s="264">
        <f t="shared" si="48"/>
        <v>0</v>
      </c>
      <c r="AJ190" s="263"/>
      <c r="AK190" s="264">
        <f t="shared" si="49"/>
        <v>0</v>
      </c>
      <c r="AL190" s="263"/>
      <c r="AM190" s="264">
        <f t="shared" si="50"/>
        <v>0</v>
      </c>
      <c r="AN190" s="267">
        <f t="shared" si="51"/>
        <v>0</v>
      </c>
      <c r="AO190" s="268"/>
      <c r="AP190" s="158"/>
      <c r="AW190" s="147"/>
    </row>
    <row r="191" spans="1:49" thickBot="1">
      <c r="A191" s="106"/>
      <c r="B191" s="157"/>
      <c r="C191" s="157"/>
      <c r="D191" s="104"/>
      <c r="E191" s="105"/>
      <c r="F191" s="105"/>
      <c r="G191" s="105"/>
      <c r="H191" s="103"/>
      <c r="I191" s="157"/>
      <c r="J191" s="103"/>
      <c r="K191" s="103"/>
      <c r="L191" s="105"/>
      <c r="M191" s="105"/>
      <c r="N191" s="107"/>
      <c r="O191" s="105"/>
      <c r="P191" s="263"/>
      <c r="Q191" s="264">
        <f t="shared" si="39"/>
        <v>0</v>
      </c>
      <c r="R191" s="263"/>
      <c r="S191" s="264">
        <f t="shared" si="40"/>
        <v>0</v>
      </c>
      <c r="T191" s="263"/>
      <c r="U191" s="264">
        <f t="shared" si="41"/>
        <v>0</v>
      </c>
      <c r="V191" s="263"/>
      <c r="W191" s="264">
        <f t="shared" si="42"/>
        <v>0</v>
      </c>
      <c r="X191" s="263"/>
      <c r="Y191" s="264">
        <f t="shared" si="43"/>
        <v>0</v>
      </c>
      <c r="Z191" s="263"/>
      <c r="AA191" s="264">
        <f t="shared" si="44"/>
        <v>0</v>
      </c>
      <c r="AB191" s="263"/>
      <c r="AC191" s="264">
        <f t="shared" si="45"/>
        <v>0</v>
      </c>
      <c r="AD191" s="263"/>
      <c r="AE191" s="264">
        <f t="shared" si="46"/>
        <v>0</v>
      </c>
      <c r="AF191" s="263"/>
      <c r="AG191" s="264">
        <f t="shared" si="47"/>
        <v>0</v>
      </c>
      <c r="AH191" s="263"/>
      <c r="AI191" s="264">
        <f t="shared" si="48"/>
        <v>0</v>
      </c>
      <c r="AJ191" s="263"/>
      <c r="AK191" s="264">
        <f t="shared" si="49"/>
        <v>0</v>
      </c>
      <c r="AL191" s="263"/>
      <c r="AM191" s="264">
        <f t="shared" si="50"/>
        <v>0</v>
      </c>
      <c r="AN191" s="267">
        <f t="shared" si="51"/>
        <v>0</v>
      </c>
      <c r="AO191" s="268"/>
      <c r="AP191" s="158"/>
    </row>
    <row r="192" spans="1:49" thickBot="1">
      <c r="A192" s="106"/>
      <c r="B192" s="157"/>
      <c r="C192" s="157"/>
      <c r="D192" s="104"/>
      <c r="E192" s="105"/>
      <c r="F192" s="105"/>
      <c r="G192" s="105"/>
      <c r="H192" s="103"/>
      <c r="I192" s="157"/>
      <c r="J192" s="103"/>
      <c r="K192" s="103"/>
      <c r="L192" s="105"/>
      <c r="M192" s="105"/>
      <c r="N192" s="107"/>
      <c r="O192" s="105"/>
      <c r="P192" s="263"/>
      <c r="Q192" s="264">
        <f t="shared" si="39"/>
        <v>0</v>
      </c>
      <c r="R192" s="263"/>
      <c r="S192" s="264">
        <f t="shared" si="40"/>
        <v>0</v>
      </c>
      <c r="T192" s="263"/>
      <c r="U192" s="264">
        <f t="shared" si="41"/>
        <v>0</v>
      </c>
      <c r="V192" s="263"/>
      <c r="W192" s="264">
        <f t="shared" si="42"/>
        <v>0</v>
      </c>
      <c r="X192" s="263"/>
      <c r="Y192" s="264">
        <f t="shared" si="43"/>
        <v>0</v>
      </c>
      <c r="Z192" s="263"/>
      <c r="AA192" s="264">
        <f t="shared" si="44"/>
        <v>0</v>
      </c>
      <c r="AB192" s="263"/>
      <c r="AC192" s="264">
        <f t="shared" si="45"/>
        <v>0</v>
      </c>
      <c r="AD192" s="263"/>
      <c r="AE192" s="264">
        <f t="shared" si="46"/>
        <v>0</v>
      </c>
      <c r="AF192" s="263"/>
      <c r="AG192" s="264">
        <f t="shared" si="47"/>
        <v>0</v>
      </c>
      <c r="AH192" s="263"/>
      <c r="AI192" s="264">
        <f t="shared" si="48"/>
        <v>0</v>
      </c>
      <c r="AJ192" s="263"/>
      <c r="AK192" s="264">
        <f t="shared" si="49"/>
        <v>0</v>
      </c>
      <c r="AL192" s="263"/>
      <c r="AM192" s="264">
        <f t="shared" si="50"/>
        <v>0</v>
      </c>
      <c r="AN192" s="267">
        <f t="shared" si="51"/>
        <v>0</v>
      </c>
      <c r="AO192" s="268"/>
      <c r="AP192" s="158"/>
    </row>
    <row r="193" spans="1:49" thickBot="1">
      <c r="A193" s="106"/>
      <c r="B193" s="157"/>
      <c r="C193" s="157"/>
      <c r="D193" s="104"/>
      <c r="E193" s="105"/>
      <c r="F193" s="105"/>
      <c r="G193" s="105"/>
      <c r="H193" s="103"/>
      <c r="I193" s="157"/>
      <c r="J193" s="103"/>
      <c r="K193" s="103"/>
      <c r="L193" s="105"/>
      <c r="M193" s="105"/>
      <c r="N193" s="107"/>
      <c r="O193" s="105"/>
      <c r="P193" s="263"/>
      <c r="Q193" s="264">
        <f t="shared" si="39"/>
        <v>0</v>
      </c>
      <c r="R193" s="263"/>
      <c r="S193" s="264">
        <f t="shared" si="40"/>
        <v>0</v>
      </c>
      <c r="T193" s="263"/>
      <c r="U193" s="264">
        <f t="shared" si="41"/>
        <v>0</v>
      </c>
      <c r="V193" s="263"/>
      <c r="W193" s="264">
        <f t="shared" si="42"/>
        <v>0</v>
      </c>
      <c r="X193" s="263"/>
      <c r="Y193" s="264">
        <f t="shared" si="43"/>
        <v>0</v>
      </c>
      <c r="Z193" s="263"/>
      <c r="AA193" s="264">
        <f t="shared" si="44"/>
        <v>0</v>
      </c>
      <c r="AB193" s="263"/>
      <c r="AC193" s="264">
        <f t="shared" si="45"/>
        <v>0</v>
      </c>
      <c r="AD193" s="263"/>
      <c r="AE193" s="264">
        <f t="shared" si="46"/>
        <v>0</v>
      </c>
      <c r="AF193" s="263"/>
      <c r="AG193" s="264">
        <f t="shared" si="47"/>
        <v>0</v>
      </c>
      <c r="AH193" s="263"/>
      <c r="AI193" s="264">
        <f t="shared" si="48"/>
        <v>0</v>
      </c>
      <c r="AJ193" s="263"/>
      <c r="AK193" s="264">
        <f t="shared" si="49"/>
        <v>0</v>
      </c>
      <c r="AL193" s="263"/>
      <c r="AM193" s="264">
        <f t="shared" si="50"/>
        <v>0</v>
      </c>
      <c r="AN193" s="267">
        <f t="shared" si="51"/>
        <v>0</v>
      </c>
      <c r="AO193" s="268"/>
      <c r="AP193" s="158"/>
    </row>
    <row r="194" spans="1:49" thickBot="1">
      <c r="A194" s="106"/>
      <c r="B194" s="157"/>
      <c r="C194" s="157"/>
      <c r="D194" s="104"/>
      <c r="E194" s="105"/>
      <c r="F194" s="105"/>
      <c r="G194" s="105"/>
      <c r="H194" s="103"/>
      <c r="I194" s="157"/>
      <c r="J194" s="103"/>
      <c r="K194" s="103"/>
      <c r="L194" s="105"/>
      <c r="M194" s="105"/>
      <c r="N194" s="107"/>
      <c r="O194" s="105"/>
      <c r="P194" s="263"/>
      <c r="Q194" s="264">
        <f t="shared" si="39"/>
        <v>0</v>
      </c>
      <c r="R194" s="263"/>
      <c r="S194" s="264">
        <f t="shared" si="40"/>
        <v>0</v>
      </c>
      <c r="T194" s="263"/>
      <c r="U194" s="264">
        <f t="shared" si="41"/>
        <v>0</v>
      </c>
      <c r="V194" s="263"/>
      <c r="W194" s="264">
        <f t="shared" si="42"/>
        <v>0</v>
      </c>
      <c r="X194" s="263"/>
      <c r="Y194" s="264">
        <f t="shared" si="43"/>
        <v>0</v>
      </c>
      <c r="Z194" s="263"/>
      <c r="AA194" s="264">
        <f t="shared" si="44"/>
        <v>0</v>
      </c>
      <c r="AB194" s="263"/>
      <c r="AC194" s="264">
        <f t="shared" si="45"/>
        <v>0</v>
      </c>
      <c r="AD194" s="263"/>
      <c r="AE194" s="264">
        <f t="shared" si="46"/>
        <v>0</v>
      </c>
      <c r="AF194" s="263"/>
      <c r="AG194" s="264">
        <f t="shared" si="47"/>
        <v>0</v>
      </c>
      <c r="AH194" s="263"/>
      <c r="AI194" s="264">
        <f t="shared" si="48"/>
        <v>0</v>
      </c>
      <c r="AJ194" s="263"/>
      <c r="AK194" s="264">
        <f t="shared" si="49"/>
        <v>0</v>
      </c>
      <c r="AL194" s="263"/>
      <c r="AM194" s="264">
        <f t="shared" si="50"/>
        <v>0</v>
      </c>
      <c r="AN194" s="267">
        <f t="shared" si="51"/>
        <v>0</v>
      </c>
      <c r="AO194" s="268"/>
      <c r="AP194" s="158"/>
      <c r="AW194" s="159"/>
    </row>
    <row r="195" spans="1:49" thickBot="1">
      <c r="A195" s="106"/>
      <c r="B195" s="157"/>
      <c r="C195" s="157"/>
      <c r="D195" s="104"/>
      <c r="E195" s="105"/>
      <c r="F195" s="105"/>
      <c r="G195" s="105"/>
      <c r="H195" s="103"/>
      <c r="I195" s="157"/>
      <c r="J195" s="103"/>
      <c r="K195" s="103"/>
      <c r="L195" s="105"/>
      <c r="M195" s="105"/>
      <c r="N195" s="107"/>
      <c r="O195" s="105"/>
      <c r="P195" s="263"/>
      <c r="Q195" s="264">
        <f t="shared" si="39"/>
        <v>0</v>
      </c>
      <c r="R195" s="263"/>
      <c r="S195" s="264">
        <f t="shared" si="40"/>
        <v>0</v>
      </c>
      <c r="T195" s="263"/>
      <c r="U195" s="264">
        <f t="shared" si="41"/>
        <v>0</v>
      </c>
      <c r="V195" s="263"/>
      <c r="W195" s="264">
        <f t="shared" si="42"/>
        <v>0</v>
      </c>
      <c r="X195" s="263"/>
      <c r="Y195" s="264">
        <f t="shared" si="43"/>
        <v>0</v>
      </c>
      <c r="Z195" s="263"/>
      <c r="AA195" s="264">
        <f t="shared" si="44"/>
        <v>0</v>
      </c>
      <c r="AB195" s="263"/>
      <c r="AC195" s="264">
        <f t="shared" si="45"/>
        <v>0</v>
      </c>
      <c r="AD195" s="263"/>
      <c r="AE195" s="264">
        <f t="shared" si="46"/>
        <v>0</v>
      </c>
      <c r="AF195" s="263"/>
      <c r="AG195" s="264">
        <f t="shared" si="47"/>
        <v>0</v>
      </c>
      <c r="AH195" s="263"/>
      <c r="AI195" s="264">
        <f t="shared" si="48"/>
        <v>0</v>
      </c>
      <c r="AJ195" s="263"/>
      <c r="AK195" s="264">
        <f t="shared" si="49"/>
        <v>0</v>
      </c>
      <c r="AL195" s="263"/>
      <c r="AM195" s="264">
        <f t="shared" si="50"/>
        <v>0</v>
      </c>
      <c r="AN195" s="267">
        <f t="shared" si="51"/>
        <v>0</v>
      </c>
      <c r="AO195" s="268"/>
      <c r="AP195" s="158"/>
    </row>
    <row r="196" spans="1:49" thickBot="1">
      <c r="A196" s="106"/>
      <c r="B196" s="157"/>
      <c r="C196" s="157"/>
      <c r="D196" s="104"/>
      <c r="E196" s="105"/>
      <c r="F196" s="105"/>
      <c r="G196" s="105"/>
      <c r="H196" s="103"/>
      <c r="I196" s="157"/>
      <c r="J196" s="103"/>
      <c r="K196" s="103"/>
      <c r="L196" s="105"/>
      <c r="M196" s="105"/>
      <c r="N196" s="107"/>
      <c r="O196" s="105"/>
      <c r="P196" s="263"/>
      <c r="Q196" s="264">
        <f t="shared" si="39"/>
        <v>0</v>
      </c>
      <c r="R196" s="263"/>
      <c r="S196" s="264">
        <f t="shared" si="40"/>
        <v>0</v>
      </c>
      <c r="T196" s="263"/>
      <c r="U196" s="264">
        <f t="shared" si="41"/>
        <v>0</v>
      </c>
      <c r="V196" s="263"/>
      <c r="W196" s="264">
        <f t="shared" si="42"/>
        <v>0</v>
      </c>
      <c r="X196" s="263"/>
      <c r="Y196" s="264">
        <f t="shared" si="43"/>
        <v>0</v>
      </c>
      <c r="Z196" s="263"/>
      <c r="AA196" s="264">
        <f t="shared" si="44"/>
        <v>0</v>
      </c>
      <c r="AB196" s="263"/>
      <c r="AC196" s="264">
        <f t="shared" si="45"/>
        <v>0</v>
      </c>
      <c r="AD196" s="263"/>
      <c r="AE196" s="264">
        <f t="shared" si="46"/>
        <v>0</v>
      </c>
      <c r="AF196" s="263"/>
      <c r="AG196" s="264">
        <f t="shared" si="47"/>
        <v>0</v>
      </c>
      <c r="AH196" s="263"/>
      <c r="AI196" s="264">
        <f t="shared" si="48"/>
        <v>0</v>
      </c>
      <c r="AJ196" s="263"/>
      <c r="AK196" s="264">
        <f t="shared" si="49"/>
        <v>0</v>
      </c>
      <c r="AL196" s="263"/>
      <c r="AM196" s="264">
        <f t="shared" si="50"/>
        <v>0</v>
      </c>
      <c r="AN196" s="267">
        <f t="shared" si="51"/>
        <v>0</v>
      </c>
      <c r="AO196" s="268"/>
      <c r="AP196" s="158"/>
      <c r="AW196" s="152"/>
    </row>
    <row r="197" spans="1:49" thickBot="1">
      <c r="A197" s="106"/>
      <c r="B197" s="157"/>
      <c r="C197" s="157"/>
      <c r="D197" s="104"/>
      <c r="E197" s="105"/>
      <c r="F197" s="105"/>
      <c r="G197" s="105"/>
      <c r="H197" s="103"/>
      <c r="I197" s="157"/>
      <c r="J197" s="103"/>
      <c r="K197" s="103"/>
      <c r="L197" s="105"/>
      <c r="M197" s="105"/>
      <c r="N197" s="107"/>
      <c r="O197" s="105"/>
      <c r="P197" s="263"/>
      <c r="Q197" s="264">
        <f t="shared" si="39"/>
        <v>0</v>
      </c>
      <c r="R197" s="263"/>
      <c r="S197" s="264">
        <f t="shared" si="40"/>
        <v>0</v>
      </c>
      <c r="T197" s="263"/>
      <c r="U197" s="264">
        <f t="shared" si="41"/>
        <v>0</v>
      </c>
      <c r="V197" s="263"/>
      <c r="W197" s="264">
        <f t="shared" si="42"/>
        <v>0</v>
      </c>
      <c r="X197" s="263"/>
      <c r="Y197" s="264">
        <f t="shared" si="43"/>
        <v>0</v>
      </c>
      <c r="Z197" s="263"/>
      <c r="AA197" s="264">
        <f t="shared" si="44"/>
        <v>0</v>
      </c>
      <c r="AB197" s="263"/>
      <c r="AC197" s="264">
        <f t="shared" si="45"/>
        <v>0</v>
      </c>
      <c r="AD197" s="263"/>
      <c r="AE197" s="264">
        <f t="shared" si="46"/>
        <v>0</v>
      </c>
      <c r="AF197" s="263"/>
      <c r="AG197" s="264">
        <f t="shared" si="47"/>
        <v>0</v>
      </c>
      <c r="AH197" s="263"/>
      <c r="AI197" s="264">
        <f t="shared" si="48"/>
        <v>0</v>
      </c>
      <c r="AJ197" s="263"/>
      <c r="AK197" s="264">
        <f t="shared" si="49"/>
        <v>0</v>
      </c>
      <c r="AL197" s="263"/>
      <c r="AM197" s="264">
        <f t="shared" si="50"/>
        <v>0</v>
      </c>
      <c r="AN197" s="267">
        <f t="shared" si="51"/>
        <v>0</v>
      </c>
      <c r="AO197" s="268"/>
      <c r="AP197" s="158"/>
    </row>
    <row r="198" spans="1:49" s="161" customFormat="1" thickBot="1">
      <c r="A198" s="106"/>
      <c r="B198" s="157"/>
      <c r="C198" s="157"/>
      <c r="D198" s="104"/>
      <c r="E198" s="105"/>
      <c r="F198" s="105"/>
      <c r="G198" s="105"/>
      <c r="H198" s="103"/>
      <c r="I198" s="157"/>
      <c r="J198" s="103"/>
      <c r="K198" s="103"/>
      <c r="L198" s="105"/>
      <c r="M198" s="105"/>
      <c r="N198" s="107"/>
      <c r="O198" s="105"/>
      <c r="P198" s="263"/>
      <c r="Q198" s="264">
        <f t="shared" si="39"/>
        <v>0</v>
      </c>
      <c r="R198" s="263"/>
      <c r="S198" s="264">
        <f t="shared" si="40"/>
        <v>0</v>
      </c>
      <c r="T198" s="263"/>
      <c r="U198" s="264">
        <f t="shared" si="41"/>
        <v>0</v>
      </c>
      <c r="V198" s="263"/>
      <c r="W198" s="264">
        <f t="shared" si="42"/>
        <v>0</v>
      </c>
      <c r="X198" s="263"/>
      <c r="Y198" s="264">
        <f t="shared" si="43"/>
        <v>0</v>
      </c>
      <c r="Z198" s="263"/>
      <c r="AA198" s="264">
        <f t="shared" si="44"/>
        <v>0</v>
      </c>
      <c r="AB198" s="263"/>
      <c r="AC198" s="264">
        <f t="shared" si="45"/>
        <v>0</v>
      </c>
      <c r="AD198" s="263"/>
      <c r="AE198" s="264">
        <f t="shared" si="46"/>
        <v>0</v>
      </c>
      <c r="AF198" s="263"/>
      <c r="AG198" s="264">
        <f t="shared" si="47"/>
        <v>0</v>
      </c>
      <c r="AH198" s="263"/>
      <c r="AI198" s="264">
        <f t="shared" si="48"/>
        <v>0</v>
      </c>
      <c r="AJ198" s="263"/>
      <c r="AK198" s="264">
        <f t="shared" si="49"/>
        <v>0</v>
      </c>
      <c r="AL198" s="263"/>
      <c r="AM198" s="264">
        <f t="shared" si="50"/>
        <v>0</v>
      </c>
      <c r="AN198" s="267">
        <f t="shared" si="51"/>
        <v>0</v>
      </c>
      <c r="AO198" s="268"/>
      <c r="AP198" s="160"/>
    </row>
    <row r="199" spans="1:49" thickBot="1">
      <c r="A199" s="106"/>
      <c r="B199" s="157"/>
      <c r="C199" s="157"/>
      <c r="D199" s="104"/>
      <c r="E199" s="105"/>
      <c r="F199" s="105"/>
      <c r="G199" s="105"/>
      <c r="H199" s="103"/>
      <c r="I199" s="157"/>
      <c r="J199" s="103"/>
      <c r="K199" s="103"/>
      <c r="L199" s="105"/>
      <c r="M199" s="105"/>
      <c r="N199" s="107"/>
      <c r="O199" s="105"/>
      <c r="P199" s="263"/>
      <c r="Q199" s="264">
        <f t="shared" si="39"/>
        <v>0</v>
      </c>
      <c r="R199" s="263"/>
      <c r="S199" s="264">
        <f t="shared" si="40"/>
        <v>0</v>
      </c>
      <c r="T199" s="263"/>
      <c r="U199" s="264">
        <f t="shared" si="41"/>
        <v>0</v>
      </c>
      <c r="V199" s="263"/>
      <c r="W199" s="264">
        <f t="shared" si="42"/>
        <v>0</v>
      </c>
      <c r="X199" s="263"/>
      <c r="Y199" s="264">
        <f t="shared" si="43"/>
        <v>0</v>
      </c>
      <c r="Z199" s="263"/>
      <c r="AA199" s="264">
        <f t="shared" si="44"/>
        <v>0</v>
      </c>
      <c r="AB199" s="263"/>
      <c r="AC199" s="264">
        <f t="shared" si="45"/>
        <v>0</v>
      </c>
      <c r="AD199" s="263"/>
      <c r="AE199" s="264">
        <f t="shared" si="46"/>
        <v>0</v>
      </c>
      <c r="AF199" s="263"/>
      <c r="AG199" s="264">
        <f t="shared" si="47"/>
        <v>0</v>
      </c>
      <c r="AH199" s="263"/>
      <c r="AI199" s="264">
        <f t="shared" si="48"/>
        <v>0</v>
      </c>
      <c r="AJ199" s="263"/>
      <c r="AK199" s="264">
        <f t="shared" si="49"/>
        <v>0</v>
      </c>
      <c r="AL199" s="263"/>
      <c r="AM199" s="264">
        <f t="shared" si="50"/>
        <v>0</v>
      </c>
      <c r="AN199" s="267">
        <f t="shared" si="51"/>
        <v>0</v>
      </c>
      <c r="AO199" s="268"/>
      <c r="AP199" s="158"/>
    </row>
    <row r="200" spans="1:49" thickBot="1">
      <c r="A200" s="106"/>
      <c r="B200" s="157"/>
      <c r="C200" s="157"/>
      <c r="D200" s="104"/>
      <c r="E200" s="105"/>
      <c r="F200" s="105"/>
      <c r="G200" s="105"/>
      <c r="H200" s="103"/>
      <c r="I200" s="157"/>
      <c r="J200" s="103"/>
      <c r="K200" s="103"/>
      <c r="L200" s="105"/>
      <c r="M200" s="105"/>
      <c r="N200" s="107"/>
      <c r="O200" s="105"/>
      <c r="P200" s="263"/>
      <c r="Q200" s="264">
        <f t="shared" si="39"/>
        <v>0</v>
      </c>
      <c r="R200" s="263"/>
      <c r="S200" s="264">
        <f t="shared" si="40"/>
        <v>0</v>
      </c>
      <c r="T200" s="263"/>
      <c r="U200" s="264">
        <f t="shared" si="41"/>
        <v>0</v>
      </c>
      <c r="V200" s="263"/>
      <c r="W200" s="264">
        <f t="shared" si="42"/>
        <v>0</v>
      </c>
      <c r="X200" s="263"/>
      <c r="Y200" s="264">
        <f t="shared" si="43"/>
        <v>0</v>
      </c>
      <c r="Z200" s="263"/>
      <c r="AA200" s="264">
        <f t="shared" si="44"/>
        <v>0</v>
      </c>
      <c r="AB200" s="263"/>
      <c r="AC200" s="264">
        <f t="shared" si="45"/>
        <v>0</v>
      </c>
      <c r="AD200" s="263"/>
      <c r="AE200" s="264">
        <f t="shared" si="46"/>
        <v>0</v>
      </c>
      <c r="AF200" s="263"/>
      <c r="AG200" s="264">
        <f t="shared" si="47"/>
        <v>0</v>
      </c>
      <c r="AH200" s="263"/>
      <c r="AI200" s="264">
        <f t="shared" si="48"/>
        <v>0</v>
      </c>
      <c r="AJ200" s="263"/>
      <c r="AK200" s="264">
        <f t="shared" si="49"/>
        <v>0</v>
      </c>
      <c r="AL200" s="263"/>
      <c r="AM200" s="264">
        <f t="shared" si="50"/>
        <v>0</v>
      </c>
      <c r="AN200" s="267">
        <f t="shared" si="51"/>
        <v>0</v>
      </c>
      <c r="AO200" s="268"/>
      <c r="AP200" s="158"/>
    </row>
    <row r="201" spans="1:49" thickBot="1">
      <c r="A201" s="106"/>
      <c r="B201" s="157"/>
      <c r="C201" s="157"/>
      <c r="D201" s="104"/>
      <c r="E201" s="105"/>
      <c r="F201" s="105"/>
      <c r="G201" s="105"/>
      <c r="H201" s="103"/>
      <c r="I201" s="157"/>
      <c r="J201" s="103"/>
      <c r="K201" s="103"/>
      <c r="L201" s="105"/>
      <c r="M201" s="105"/>
      <c r="N201" s="107"/>
      <c r="O201" s="105"/>
      <c r="P201" s="263"/>
      <c r="Q201" s="264">
        <f t="shared" si="39"/>
        <v>0</v>
      </c>
      <c r="R201" s="263"/>
      <c r="S201" s="264">
        <f t="shared" si="40"/>
        <v>0</v>
      </c>
      <c r="T201" s="263"/>
      <c r="U201" s="264">
        <f t="shared" si="41"/>
        <v>0</v>
      </c>
      <c r="V201" s="263"/>
      <c r="W201" s="264">
        <f t="shared" si="42"/>
        <v>0</v>
      </c>
      <c r="X201" s="263"/>
      <c r="Y201" s="264">
        <f t="shared" si="43"/>
        <v>0</v>
      </c>
      <c r="Z201" s="263"/>
      <c r="AA201" s="264">
        <f t="shared" si="44"/>
        <v>0</v>
      </c>
      <c r="AB201" s="263"/>
      <c r="AC201" s="264">
        <f t="shared" si="45"/>
        <v>0</v>
      </c>
      <c r="AD201" s="263"/>
      <c r="AE201" s="264">
        <f t="shared" si="46"/>
        <v>0</v>
      </c>
      <c r="AF201" s="263"/>
      <c r="AG201" s="264">
        <f t="shared" si="47"/>
        <v>0</v>
      </c>
      <c r="AH201" s="263"/>
      <c r="AI201" s="264">
        <f t="shared" si="48"/>
        <v>0</v>
      </c>
      <c r="AJ201" s="263"/>
      <c r="AK201" s="264">
        <f t="shared" si="49"/>
        <v>0</v>
      </c>
      <c r="AL201" s="263"/>
      <c r="AM201" s="264">
        <f t="shared" si="50"/>
        <v>0</v>
      </c>
      <c r="AN201" s="267">
        <f t="shared" si="51"/>
        <v>0</v>
      </c>
      <c r="AO201" s="268"/>
      <c r="AP201" s="158"/>
    </row>
    <row r="202" spans="1:49" thickBot="1">
      <c r="A202" s="106"/>
      <c r="B202" s="157"/>
      <c r="C202" s="157"/>
      <c r="D202" s="104"/>
      <c r="E202" s="105"/>
      <c r="F202" s="105"/>
      <c r="G202" s="105"/>
      <c r="H202" s="103"/>
      <c r="I202" s="157"/>
      <c r="J202" s="103"/>
      <c r="K202" s="103"/>
      <c r="L202" s="105"/>
      <c r="M202" s="105"/>
      <c r="N202" s="107"/>
      <c r="O202" s="105"/>
      <c r="P202" s="263"/>
      <c r="Q202" s="264">
        <f t="shared" si="39"/>
        <v>0</v>
      </c>
      <c r="R202" s="263"/>
      <c r="S202" s="264">
        <f t="shared" si="40"/>
        <v>0</v>
      </c>
      <c r="T202" s="263"/>
      <c r="U202" s="264">
        <f t="shared" si="41"/>
        <v>0</v>
      </c>
      <c r="V202" s="263"/>
      <c r="W202" s="264">
        <f t="shared" si="42"/>
        <v>0</v>
      </c>
      <c r="X202" s="263"/>
      <c r="Y202" s="264">
        <f t="shared" si="43"/>
        <v>0</v>
      </c>
      <c r="Z202" s="263"/>
      <c r="AA202" s="264">
        <f t="shared" si="44"/>
        <v>0</v>
      </c>
      <c r="AB202" s="263"/>
      <c r="AC202" s="264">
        <f t="shared" si="45"/>
        <v>0</v>
      </c>
      <c r="AD202" s="263"/>
      <c r="AE202" s="264">
        <f t="shared" si="46"/>
        <v>0</v>
      </c>
      <c r="AF202" s="263"/>
      <c r="AG202" s="264">
        <f t="shared" si="47"/>
        <v>0</v>
      </c>
      <c r="AH202" s="263"/>
      <c r="AI202" s="264">
        <f t="shared" si="48"/>
        <v>0</v>
      </c>
      <c r="AJ202" s="263"/>
      <c r="AK202" s="264">
        <f t="shared" si="49"/>
        <v>0</v>
      </c>
      <c r="AL202" s="263"/>
      <c r="AM202" s="264">
        <f t="shared" si="50"/>
        <v>0</v>
      </c>
      <c r="AN202" s="267">
        <f t="shared" si="51"/>
        <v>0</v>
      </c>
      <c r="AO202" s="268"/>
      <c r="AP202" s="158"/>
    </row>
    <row r="203" spans="1:49" thickBot="1">
      <c r="A203" s="106"/>
      <c r="B203" s="157"/>
      <c r="C203" s="157"/>
      <c r="D203" s="104"/>
      <c r="E203" s="105"/>
      <c r="F203" s="105"/>
      <c r="G203" s="105"/>
      <c r="H203" s="103"/>
      <c r="I203" s="157"/>
      <c r="J203" s="103"/>
      <c r="K203" s="103"/>
      <c r="L203" s="105"/>
      <c r="M203" s="105"/>
      <c r="N203" s="107"/>
      <c r="O203" s="105"/>
      <c r="P203" s="263"/>
      <c r="Q203" s="264">
        <f t="shared" si="39"/>
        <v>0</v>
      </c>
      <c r="R203" s="263"/>
      <c r="S203" s="264">
        <f t="shared" si="40"/>
        <v>0</v>
      </c>
      <c r="T203" s="263"/>
      <c r="U203" s="264">
        <f t="shared" si="41"/>
        <v>0</v>
      </c>
      <c r="V203" s="263"/>
      <c r="W203" s="264">
        <f t="shared" si="42"/>
        <v>0</v>
      </c>
      <c r="X203" s="263"/>
      <c r="Y203" s="264">
        <f t="shared" si="43"/>
        <v>0</v>
      </c>
      <c r="Z203" s="263"/>
      <c r="AA203" s="264">
        <f t="shared" si="44"/>
        <v>0</v>
      </c>
      <c r="AB203" s="263"/>
      <c r="AC203" s="264">
        <f t="shared" si="45"/>
        <v>0</v>
      </c>
      <c r="AD203" s="263"/>
      <c r="AE203" s="264">
        <f t="shared" si="46"/>
        <v>0</v>
      </c>
      <c r="AF203" s="263"/>
      <c r="AG203" s="264">
        <f t="shared" si="47"/>
        <v>0</v>
      </c>
      <c r="AH203" s="263"/>
      <c r="AI203" s="264">
        <f t="shared" si="48"/>
        <v>0</v>
      </c>
      <c r="AJ203" s="263"/>
      <c r="AK203" s="264">
        <f t="shared" si="49"/>
        <v>0</v>
      </c>
      <c r="AL203" s="263"/>
      <c r="AM203" s="264">
        <f t="shared" si="50"/>
        <v>0</v>
      </c>
      <c r="AN203" s="267">
        <f t="shared" si="51"/>
        <v>0</v>
      </c>
      <c r="AO203" s="268"/>
      <c r="AP203" s="158"/>
    </row>
    <row r="204" spans="1:49" thickBot="1">
      <c r="A204" s="106"/>
      <c r="B204" s="157"/>
      <c r="C204" s="157"/>
      <c r="D204" s="104"/>
      <c r="E204" s="105"/>
      <c r="F204" s="105"/>
      <c r="G204" s="105"/>
      <c r="H204" s="103"/>
      <c r="I204" s="157"/>
      <c r="J204" s="103"/>
      <c r="K204" s="103"/>
      <c r="L204" s="105"/>
      <c r="M204" s="105"/>
      <c r="N204" s="107"/>
      <c r="O204" s="105"/>
      <c r="P204" s="263"/>
      <c r="Q204" s="264">
        <f t="shared" si="39"/>
        <v>0</v>
      </c>
      <c r="R204" s="263"/>
      <c r="S204" s="264">
        <f t="shared" si="40"/>
        <v>0</v>
      </c>
      <c r="T204" s="263"/>
      <c r="U204" s="264">
        <f t="shared" si="41"/>
        <v>0</v>
      </c>
      <c r="V204" s="263"/>
      <c r="W204" s="264">
        <f t="shared" si="42"/>
        <v>0</v>
      </c>
      <c r="X204" s="263"/>
      <c r="Y204" s="264">
        <f t="shared" si="43"/>
        <v>0</v>
      </c>
      <c r="Z204" s="263"/>
      <c r="AA204" s="264">
        <f t="shared" si="44"/>
        <v>0</v>
      </c>
      <c r="AB204" s="263"/>
      <c r="AC204" s="264">
        <f t="shared" si="45"/>
        <v>0</v>
      </c>
      <c r="AD204" s="263"/>
      <c r="AE204" s="264">
        <f t="shared" si="46"/>
        <v>0</v>
      </c>
      <c r="AF204" s="263"/>
      <c r="AG204" s="264">
        <f t="shared" si="47"/>
        <v>0</v>
      </c>
      <c r="AH204" s="263"/>
      <c r="AI204" s="264">
        <f t="shared" si="48"/>
        <v>0</v>
      </c>
      <c r="AJ204" s="263"/>
      <c r="AK204" s="264">
        <f t="shared" si="49"/>
        <v>0</v>
      </c>
      <c r="AL204" s="263"/>
      <c r="AM204" s="264">
        <f t="shared" si="50"/>
        <v>0</v>
      </c>
      <c r="AN204" s="267">
        <f t="shared" si="51"/>
        <v>0</v>
      </c>
      <c r="AO204" s="268"/>
      <c r="AP204" s="158"/>
    </row>
    <row r="205" spans="1:49" ht="13.5" thickBot="1">
      <c r="A205" s="106"/>
      <c r="B205" s="157"/>
      <c r="C205" s="157"/>
      <c r="D205" s="104"/>
      <c r="E205" s="105"/>
      <c r="F205" s="105"/>
      <c r="G205" s="105"/>
      <c r="H205" s="103"/>
      <c r="I205" s="157"/>
      <c r="J205" s="103"/>
      <c r="K205" s="103"/>
      <c r="L205" s="105"/>
      <c r="M205" s="105"/>
      <c r="N205" s="107"/>
      <c r="O205" s="105"/>
      <c r="P205" s="263"/>
      <c r="Q205" s="264">
        <f t="shared" si="39"/>
        <v>0</v>
      </c>
      <c r="R205" s="263"/>
      <c r="S205" s="264">
        <f t="shared" si="40"/>
        <v>0</v>
      </c>
      <c r="T205" s="263"/>
      <c r="U205" s="264">
        <f t="shared" si="41"/>
        <v>0</v>
      </c>
      <c r="V205" s="263"/>
      <c r="W205" s="264">
        <f t="shared" si="42"/>
        <v>0</v>
      </c>
      <c r="X205" s="263"/>
      <c r="Y205" s="264">
        <f t="shared" si="43"/>
        <v>0</v>
      </c>
      <c r="Z205" s="263"/>
      <c r="AA205" s="264">
        <f t="shared" si="44"/>
        <v>0</v>
      </c>
      <c r="AB205" s="263"/>
      <c r="AC205" s="264">
        <f t="shared" si="45"/>
        <v>0</v>
      </c>
      <c r="AD205" s="263"/>
      <c r="AE205" s="264">
        <f t="shared" si="46"/>
        <v>0</v>
      </c>
      <c r="AF205" s="263"/>
      <c r="AG205" s="264">
        <f t="shared" si="47"/>
        <v>0</v>
      </c>
      <c r="AH205" s="263"/>
      <c r="AI205" s="264">
        <f t="shared" si="48"/>
        <v>0</v>
      </c>
      <c r="AJ205" s="263"/>
      <c r="AK205" s="264">
        <f t="shared" si="49"/>
        <v>0</v>
      </c>
      <c r="AL205" s="263"/>
      <c r="AM205" s="264">
        <f t="shared" si="50"/>
        <v>0</v>
      </c>
      <c r="AN205" s="267">
        <f t="shared" si="51"/>
        <v>0</v>
      </c>
      <c r="AO205" s="268"/>
      <c r="AP205" s="158"/>
    </row>
    <row r="206" spans="1:49" ht="14.25" thickTop="1" thickBot="1">
      <c r="A206" s="138"/>
      <c r="B206" s="146"/>
      <c r="C206" s="146"/>
      <c r="D206" s="140"/>
      <c r="E206" s="154"/>
      <c r="F206" s="154"/>
      <c r="G206" s="140"/>
      <c r="H206" s="138"/>
      <c r="I206" s="146"/>
      <c r="J206" s="138"/>
      <c r="K206" s="138"/>
      <c r="L206" s="445"/>
      <c r="M206" s="445"/>
      <c r="N206" s="446" t="s">
        <v>137</v>
      </c>
      <c r="O206" s="163"/>
      <c r="P206" s="660">
        <f>SUM(Q6:Q205)</f>
        <v>0</v>
      </c>
      <c r="Q206" s="662"/>
      <c r="R206" s="660">
        <f>SUM(S6:S205)</f>
        <v>0</v>
      </c>
      <c r="S206" s="661"/>
      <c r="T206" s="660">
        <f>SUM(U6:U205)</f>
        <v>0</v>
      </c>
      <c r="U206" s="661"/>
      <c r="V206" s="660">
        <f>SUM(W6:W205)</f>
        <v>0</v>
      </c>
      <c r="W206" s="661"/>
      <c r="X206" s="660">
        <f>SUM(Y6:Y205)</f>
        <v>0</v>
      </c>
      <c r="Y206" s="661"/>
      <c r="Z206" s="660">
        <f>SUM(AA6:AA205)</f>
        <v>0</v>
      </c>
      <c r="AA206" s="661"/>
      <c r="AB206" s="660">
        <f>SUM(AC6:AC205)</f>
        <v>0</v>
      </c>
      <c r="AC206" s="661"/>
      <c r="AD206" s="660">
        <f>SUM(AE6:AE205)</f>
        <v>0</v>
      </c>
      <c r="AE206" s="661"/>
      <c r="AF206" s="660">
        <f>SUM(AG6:AG205)</f>
        <v>0</v>
      </c>
      <c r="AG206" s="661"/>
      <c r="AH206" s="660">
        <f>SUM(AI6:AI205)</f>
        <v>0</v>
      </c>
      <c r="AI206" s="661"/>
      <c r="AJ206" s="660">
        <f>SUM(AK6:AK205)</f>
        <v>0</v>
      </c>
      <c r="AK206" s="661"/>
      <c r="AL206" s="660">
        <f>SUM(AM6:AM205)</f>
        <v>0</v>
      </c>
      <c r="AM206" s="661"/>
      <c r="AN206" s="269">
        <f>SUM(AN6:AO205)</f>
        <v>0</v>
      </c>
      <c r="AO206" s="270"/>
      <c r="AP206" s="164"/>
    </row>
    <row r="207" spans="1:49" ht="12.75" customHeight="1">
      <c r="G207" s="139"/>
      <c r="N207" s="647" t="s">
        <v>1638</v>
      </c>
      <c r="O207" s="663" t="s">
        <v>135</v>
      </c>
      <c r="P207" s="650" t="s">
        <v>1184</v>
      </c>
      <c r="Q207" s="651"/>
      <c r="R207" s="650" t="s">
        <v>1183</v>
      </c>
      <c r="S207" s="651"/>
      <c r="T207" s="650" t="s">
        <v>1182</v>
      </c>
      <c r="U207" s="651"/>
      <c r="V207" s="650" t="s">
        <v>1178</v>
      </c>
      <c r="W207" s="651"/>
      <c r="X207" s="650" t="s">
        <v>1179</v>
      </c>
      <c r="Y207" s="651"/>
      <c r="Z207" s="650" t="s">
        <v>1180</v>
      </c>
      <c r="AA207" s="651"/>
      <c r="AB207" s="650" t="s">
        <v>1181</v>
      </c>
      <c r="AC207" s="651"/>
      <c r="AD207" s="650" t="s">
        <v>1185</v>
      </c>
      <c r="AE207" s="651"/>
      <c r="AF207" s="650" t="s">
        <v>1186</v>
      </c>
      <c r="AG207" s="651"/>
      <c r="AH207" s="650" t="s">
        <v>1187</v>
      </c>
      <c r="AI207" s="651"/>
      <c r="AJ207" s="650" t="s">
        <v>1188</v>
      </c>
      <c r="AK207" s="651"/>
      <c r="AL207" s="650" t="s">
        <v>1189</v>
      </c>
      <c r="AM207" s="651"/>
      <c r="AN207" s="166"/>
      <c r="AO207" s="167"/>
      <c r="AP207" s="164"/>
    </row>
    <row r="208" spans="1:49" ht="13.5" thickBot="1">
      <c r="D208" s="168"/>
      <c r="E208" s="169"/>
      <c r="G208" s="139"/>
      <c r="N208" s="648"/>
      <c r="O208" s="664"/>
      <c r="P208" s="170" t="s">
        <v>12</v>
      </c>
      <c r="Q208" s="171" t="s">
        <v>6</v>
      </c>
      <c r="R208" s="170" t="s">
        <v>12</v>
      </c>
      <c r="S208" s="171" t="s">
        <v>6</v>
      </c>
      <c r="T208" s="170" t="s">
        <v>12</v>
      </c>
      <c r="U208" s="171" t="s">
        <v>6</v>
      </c>
      <c r="V208" s="170" t="s">
        <v>12</v>
      </c>
      <c r="W208" s="171" t="s">
        <v>6</v>
      </c>
      <c r="X208" s="170" t="s">
        <v>12</v>
      </c>
      <c r="Y208" s="171" t="s">
        <v>6</v>
      </c>
      <c r="Z208" s="170" t="s">
        <v>12</v>
      </c>
      <c r="AA208" s="171" t="s">
        <v>6</v>
      </c>
      <c r="AB208" s="170" t="s">
        <v>12</v>
      </c>
      <c r="AC208" s="171" t="s">
        <v>6</v>
      </c>
      <c r="AD208" s="170" t="s">
        <v>12</v>
      </c>
      <c r="AE208" s="171" t="s">
        <v>6</v>
      </c>
      <c r="AF208" s="170" t="s">
        <v>12</v>
      </c>
      <c r="AG208" s="171" t="s">
        <v>6</v>
      </c>
      <c r="AH208" s="170" t="s">
        <v>12</v>
      </c>
      <c r="AI208" s="171" t="s">
        <v>6</v>
      </c>
      <c r="AJ208" s="170" t="s">
        <v>12</v>
      </c>
      <c r="AK208" s="171" t="s">
        <v>6</v>
      </c>
      <c r="AL208" s="170" t="s">
        <v>12</v>
      </c>
      <c r="AM208" s="171" t="s">
        <v>6</v>
      </c>
      <c r="AN208" s="170" t="s">
        <v>12</v>
      </c>
      <c r="AO208" s="172" t="s">
        <v>6</v>
      </c>
      <c r="AP208" s="168"/>
    </row>
    <row r="209" spans="3:42" ht="13.5" thickTop="1">
      <c r="C209" s="146"/>
      <c r="G209" s="173"/>
      <c r="N209" s="460"/>
      <c r="O209" s="178" t="s">
        <v>2</v>
      </c>
      <c r="P209" s="119"/>
      <c r="Q209" s="474">
        <f>IF(N209="JANUARY",SUM(K6:K205),0)</f>
        <v>0</v>
      </c>
      <c r="R209" s="119"/>
      <c r="S209" s="55">
        <f>IF(N209="FEBRUARY",SUM(K6:K205),0)</f>
        <v>0</v>
      </c>
      <c r="T209" s="119"/>
      <c r="U209" s="55">
        <f>IF(N209="MARCH",SUM(K6:K205),0)</f>
        <v>0</v>
      </c>
      <c r="V209" s="119"/>
      <c r="W209" s="475">
        <f>IF(N209="APRIL",SUM(K6:K205),0)</f>
        <v>0</v>
      </c>
      <c r="X209" s="119"/>
      <c r="Y209" s="55">
        <f>IF(N209="MAY",SUM(K6:K205),0)</f>
        <v>0</v>
      </c>
      <c r="Z209" s="119"/>
      <c r="AA209" s="55">
        <f>IF(N209="JUNE",SUM(K6:K205),0)</f>
        <v>0</v>
      </c>
      <c r="AB209" s="119"/>
      <c r="AC209" s="55">
        <f>IF(N209="JULY",SUM(K6:K205),0)</f>
        <v>0</v>
      </c>
      <c r="AD209" s="119"/>
      <c r="AE209" s="55">
        <f>IF(N209="AUGUST",SUM(K6:K205),0)</f>
        <v>0</v>
      </c>
      <c r="AF209" s="119"/>
      <c r="AG209" s="55">
        <f>IF(N209="SEPTEMBER",SUM(K6:K205),0)</f>
        <v>0</v>
      </c>
      <c r="AH209" s="119"/>
      <c r="AI209" s="55">
        <f>IF(N209="OCTOBER",SUM(K6:K205),0)</f>
        <v>0</v>
      </c>
      <c r="AJ209" s="119"/>
      <c r="AK209" s="55">
        <f>IF(N209="NOVEMBER",SUM(K6:K205),0)</f>
        <v>0</v>
      </c>
      <c r="AL209" s="119"/>
      <c r="AM209" s="55">
        <f>IF(N209="DECEMBER",SUM(K6:K205),0)</f>
        <v>0</v>
      </c>
      <c r="AN209" s="71">
        <f>SUM(AD209+AB209+Z209+X209+V209+T209+R209+P209+AF209+AH209+AJ209+AL209)</f>
        <v>0</v>
      </c>
      <c r="AO209" s="49">
        <f>SUM(Q209+S209+U209+W209+Y209+AA209+AC209+AE209+AG209+AI209+AK209+AM209)</f>
        <v>0</v>
      </c>
      <c r="AP209" s="158"/>
    </row>
    <row r="210" spans="3:42">
      <c r="C210" s="146"/>
      <c r="G210" s="173"/>
      <c r="K210" s="649" t="s">
        <v>1762</v>
      </c>
      <c r="L210" s="649"/>
      <c r="M210" s="459" t="s">
        <v>1166</v>
      </c>
      <c r="N210" s="460"/>
      <c r="O210" s="178" t="s">
        <v>1618</v>
      </c>
      <c r="P210" s="119" t="str">
        <f>IF(COUNTIF($L$213:$L$224, P$4) &gt; 0, FILTERS!$H$3, "")</f>
        <v/>
      </c>
      <c r="Q210" s="474" t="str">
        <f>IF(COUNTIF($L$213:$L$224, P$4) &gt; 0, SUM($J$6:$J$205), "")</f>
        <v/>
      </c>
      <c r="R210" s="119" t="str">
        <f>IF(COUNTIF($L$213:$L$224, R$4) &gt; 0, FILTERS!$H$3, "")</f>
        <v/>
      </c>
      <c r="S210" s="474" t="str">
        <f>IF(COUNTIF($L$213:$L$224, R$4) &gt; 0, SUM($J$6:$J$205), "")</f>
        <v/>
      </c>
      <c r="T210" s="119" t="str">
        <f>IF(COUNTIF($L$213:$L$224, T$4) &gt; 0, FILTERS!$H$3, "")</f>
        <v/>
      </c>
      <c r="U210" s="474" t="str">
        <f>IF(COUNTIF($L$213:$L$224, T$4) &gt; 0, SUM($J$6:$J$205), "")</f>
        <v/>
      </c>
      <c r="V210" s="119" t="str">
        <f>IF(COUNTIF($L$213:$L$224, V$4) &gt; 0, FILTERS!$H$3, "")</f>
        <v/>
      </c>
      <c r="W210" s="474" t="str">
        <f>IF(COUNTIF($L$213:$L$224, V$4) &gt; 0, SUM($J$6:$J$205), "")</f>
        <v/>
      </c>
      <c r="X210" s="119" t="str">
        <f>IF(COUNTIF($L$213:$L$224, X$4) &gt; 0, FILTERS!$H$3, "")</f>
        <v/>
      </c>
      <c r="Y210" s="474" t="str">
        <f>IF(COUNTIF($L$213:$L$224, X$4) &gt; 0, SUM($J$6:$J$205), "")</f>
        <v/>
      </c>
      <c r="Z210" s="119" t="str">
        <f>IF(COUNTIF($L$213:$L$224, Z$4) &gt; 0, FILTERS!$H$3, "")</f>
        <v/>
      </c>
      <c r="AA210" s="474" t="str">
        <f>IF(COUNTIF($L$213:$L$224, Z$4) &gt; 0, SUM($J$6:$J$205), "")</f>
        <v/>
      </c>
      <c r="AB210" s="119" t="str">
        <f>IF(COUNTIF($L$213:$L$224, AB$4) &gt; 0, FILTERS!$H$3, "")</f>
        <v/>
      </c>
      <c r="AC210" s="474" t="str">
        <f>IF(COUNTIF($L$213:$L$224, AB$4) &gt; 0, SUM($J$6:$J$205), "")</f>
        <v/>
      </c>
      <c r="AD210" s="119" t="str">
        <f>IF(COUNTIF($L$213:$L$224, AD$4) &gt; 0, FILTERS!$H$3, "")</f>
        <v/>
      </c>
      <c r="AE210" s="474" t="str">
        <f>IF(COUNTIF($L$213:$L$224, AD$4) &gt; 0, SUM($J$6:$J$205), "")</f>
        <v/>
      </c>
      <c r="AF210" s="119" t="str">
        <f>IF(COUNTIF($L$213:$L$224, AF$4) &gt; 0, FILTERS!$H$3, "")</f>
        <v/>
      </c>
      <c r="AG210" s="474" t="str">
        <f>IF(COUNTIF($L$213:$L$224, AF$4) &gt; 0, SUM($J$6:$J$205), "")</f>
        <v/>
      </c>
      <c r="AH210" s="119" t="str">
        <f>IF(COUNTIF($L$213:$L$224, AH$4) &gt; 0, FILTERS!$H$3, "")</f>
        <v/>
      </c>
      <c r="AI210" s="474" t="str">
        <f>IF(COUNTIF($L$213:$L$224, AH$4) &gt; 0, SUM($J$6:$J$205), "")</f>
        <v/>
      </c>
      <c r="AJ210" s="119" t="str">
        <f>IF(COUNTIF($L$213:$L$224, AJ$4) &gt; 0, FILTERS!$H$3, "")</f>
        <v/>
      </c>
      <c r="AK210" s="474" t="str">
        <f>IF(COUNTIF($L$213:$L$224, AJ$4) &gt; 0, SUM($J$6:$J$205), "")</f>
        <v/>
      </c>
      <c r="AL210" s="119" t="str">
        <f>IF(COUNTIF($L$213:$L$224, AL$4) &gt; 0, FILTERS!$H$3, "")</f>
        <v/>
      </c>
      <c r="AM210" s="474" t="str">
        <f>IF(COUNTIF($L$213:$L$224, AL$4) &gt; 0, SUM($J$6:$J$205), "")</f>
        <v/>
      </c>
      <c r="AN210" s="48">
        <f>SUM(P210,R210,T210,V210,X210,Z210,AB210,AD210,AF210,AH210,AJ210,AL210)</f>
        <v>0</v>
      </c>
      <c r="AO210" s="49">
        <f>SUM(Q210,S210,U210,W210,Y210,AA210,AC210,AE210,AG210,AI210,AK210,AM210)</f>
        <v>0</v>
      </c>
      <c r="AP210" s="158"/>
    </row>
    <row r="211" spans="3:42">
      <c r="G211" s="173"/>
      <c r="K211" s="168"/>
      <c r="L211" s="456"/>
      <c r="M211" s="457">
        <f>CHOOSE(MATCH(M210, {"Monthly","Bimonthly","Quarterly","Semi Annual","Annual"}, 0), 1, 2, 3, 6, 12)</f>
        <v>6</v>
      </c>
      <c r="N211" s="460"/>
      <c r="O211" s="178" t="s">
        <v>3</v>
      </c>
      <c r="P211" s="119">
        <f>IF($N$211=P4,'BELTS '!$H$3,0)</f>
        <v>0</v>
      </c>
      <c r="Q211" s="271"/>
      <c r="R211" s="119">
        <f>IF($N$211=R4,'BELTS '!$H$3,0)</f>
        <v>0</v>
      </c>
      <c r="S211" s="271"/>
      <c r="T211" s="119">
        <f>IF($N$211=T4,'BELTS '!$H$3,0)</f>
        <v>0</v>
      </c>
      <c r="U211" s="271"/>
      <c r="V211" s="119">
        <f>IF($N$211=V4,'BELTS '!$H$3,0)</f>
        <v>0</v>
      </c>
      <c r="W211" s="271"/>
      <c r="X211" s="119">
        <f>IF($N$211=X4,'BELTS '!$H$3,0)</f>
        <v>0</v>
      </c>
      <c r="Y211" s="271"/>
      <c r="Z211" s="119">
        <f>IF($N$211=Z4,'BELTS '!$H$3,0)</f>
        <v>0</v>
      </c>
      <c r="AA211" s="271"/>
      <c r="AB211" s="119">
        <f>IF($N$211=AB4,'BELTS '!$H$3,0)</f>
        <v>0</v>
      </c>
      <c r="AC211" s="271"/>
      <c r="AD211" s="119">
        <f>IF($N$211=AD4,'BELTS '!$H$3,0)</f>
        <v>0</v>
      </c>
      <c r="AE211" s="271"/>
      <c r="AF211" s="119">
        <f>IF($N$211=AF4,'BELTS '!$H$3,0)</f>
        <v>0</v>
      </c>
      <c r="AG211" s="271"/>
      <c r="AH211" s="119">
        <f>IF($N$211=AH4,'BELTS '!$H$3,0)</f>
        <v>0</v>
      </c>
      <c r="AI211" s="271"/>
      <c r="AJ211" s="119">
        <f>IF($N$211=AJ4,'BELTS '!$H$3,0)</f>
        <v>0</v>
      </c>
      <c r="AK211" s="271"/>
      <c r="AL211" s="119">
        <f>IF($N$211=AL4,'BELTS '!$H$3,0)</f>
        <v>0</v>
      </c>
      <c r="AM211" s="271"/>
      <c r="AN211" s="72">
        <f>SUM(AD211+AB211+Z211+X211+V211+T211+R211+P211+AF211+AH211+AJ211+AL211)</f>
        <v>0</v>
      </c>
      <c r="AO211" s="49">
        <f t="shared" ref="AO211" si="52">SUM(Q211+S211+U211+W211+Y211+AA211+AC211+AE211+AG211+AI211+AK211+AM211)</f>
        <v>0</v>
      </c>
      <c r="AP211" s="158"/>
    </row>
    <row r="212" spans="3:42">
      <c r="G212" s="173"/>
      <c r="K212" s="458"/>
      <c r="L212" s="646" t="s">
        <v>1639</v>
      </c>
      <c r="M212" s="646"/>
      <c r="N212" s="173"/>
      <c r="O212" s="165" t="s">
        <v>102</v>
      </c>
      <c r="P212" s="119"/>
      <c r="Q212" s="271"/>
      <c r="R212" s="119"/>
      <c r="S212" s="271"/>
      <c r="T212" s="119"/>
      <c r="U212" s="271"/>
      <c r="V212" s="174"/>
      <c r="W212" s="271"/>
      <c r="X212" s="119"/>
      <c r="Y212" s="271"/>
      <c r="Z212" s="119"/>
      <c r="AA212" s="271"/>
      <c r="AB212" s="119"/>
      <c r="AC212" s="271"/>
      <c r="AD212" s="119"/>
      <c r="AE212" s="271"/>
      <c r="AF212" s="119"/>
      <c r="AG212" s="271"/>
      <c r="AH212" s="174"/>
      <c r="AI212" s="271"/>
      <c r="AJ212" s="119"/>
      <c r="AK212" s="271"/>
      <c r="AL212" s="119"/>
      <c r="AM212" s="271"/>
      <c r="AN212" s="72">
        <f>SUM(AD212+AB212+Z212+X212+V212+T212+R212+P212+AF212+AH212+AJ212+AL212)</f>
        <v>0</v>
      </c>
      <c r="AO212" s="439">
        <f>SUM(Q212+S212+U212+W212+Y212+AA212+AC212+AE212+AG212+AI212+AK212+AM212)</f>
        <v>0</v>
      </c>
      <c r="AP212" s="158"/>
    </row>
    <row r="213" spans="3:42">
      <c r="G213" s="173"/>
      <c r="K213" s="168"/>
      <c r="L213" s="645" t="str">
        <f>IFERROR(TEXT(DATE(2000, MATCH($N$210, {"January","February","March","April","May","June","July","August","September","October","November","December"}, 0), 1), "mmmm"),"")</f>
        <v/>
      </c>
      <c r="M213" s="645"/>
      <c r="N213" s="173"/>
      <c r="O213" s="165" t="s">
        <v>143</v>
      </c>
      <c r="P213" s="119"/>
      <c r="Q213" s="271"/>
      <c r="R213" s="119"/>
      <c r="S213" s="271"/>
      <c r="T213" s="119"/>
      <c r="U213" s="271"/>
      <c r="V213" s="119"/>
      <c r="W213" s="271"/>
      <c r="X213" s="119"/>
      <c r="Y213" s="271"/>
      <c r="Z213" s="119"/>
      <c r="AA213" s="271"/>
      <c r="AB213" s="119"/>
      <c r="AC213" s="271"/>
      <c r="AD213" s="119"/>
      <c r="AE213" s="271"/>
      <c r="AF213" s="119"/>
      <c r="AG213" s="271"/>
      <c r="AH213" s="119"/>
      <c r="AI213" s="271"/>
      <c r="AJ213" s="119"/>
      <c r="AK213" s="271"/>
      <c r="AL213" s="119"/>
      <c r="AM213" s="271"/>
      <c r="AN213" s="72">
        <f t="shared" ref="AN213:AN215" si="53">SUM(AD213+AB213+Z213+X213+V213+T213+R213+P213+AF213+AH213+AJ213+AL213)</f>
        <v>0</v>
      </c>
      <c r="AO213" s="439"/>
      <c r="AP213" s="158"/>
    </row>
    <row r="214" spans="3:42">
      <c r="G214" s="175"/>
      <c r="K214" s="168"/>
      <c r="L214" s="645" t="str">
        <f>IFERROR(IF((ROW(A1)*$M$211)&lt;12, TEXT(DATE(2000, MATCH($N$210, {"January","February","March","April","May","June","July","August","September","October","November","December"}, 0) + (ROW(A1)*$M$211), 1), "mmmm"), ""),"")</f>
        <v/>
      </c>
      <c r="M214" s="645"/>
      <c r="N214" s="175"/>
      <c r="O214" s="165" t="s">
        <v>5</v>
      </c>
      <c r="P214" s="119"/>
      <c r="Q214" s="271"/>
      <c r="R214" s="119"/>
      <c r="S214" s="271"/>
      <c r="T214" s="119"/>
      <c r="U214" s="271"/>
      <c r="V214" s="119"/>
      <c r="W214" s="271"/>
      <c r="X214" s="119"/>
      <c r="Y214" s="271"/>
      <c r="Z214" s="119"/>
      <c r="AA214" s="271"/>
      <c r="AB214" s="119"/>
      <c r="AC214" s="271"/>
      <c r="AD214" s="119"/>
      <c r="AE214" s="271"/>
      <c r="AF214" s="119"/>
      <c r="AG214" s="271"/>
      <c r="AH214" s="119"/>
      <c r="AI214" s="271"/>
      <c r="AJ214" s="119"/>
      <c r="AK214" s="271"/>
      <c r="AL214" s="119"/>
      <c r="AM214" s="271"/>
      <c r="AN214" s="72">
        <f t="shared" si="53"/>
        <v>0</v>
      </c>
      <c r="AO214" s="439"/>
      <c r="AP214" s="158"/>
    </row>
    <row r="215" spans="3:42" ht="13.5" thickBot="1">
      <c r="G215" s="173"/>
      <c r="K215" s="168"/>
      <c r="L215" s="645" t="str">
        <f>IFERROR(IF((ROW(A2)*$M$211)&lt;12, TEXT(DATE(2000, MATCH($N$210, {"January","February","March","April","May","June","July","August","September","October","November","December"}, 0) + (ROW(A2)*$M$211), 1), "mmmm"), ""),"")</f>
        <v/>
      </c>
      <c r="M215" s="645"/>
      <c r="N215" s="173"/>
      <c r="O215" s="165" t="s">
        <v>5</v>
      </c>
      <c r="P215" s="121"/>
      <c r="Q215" s="272"/>
      <c r="R215" s="121"/>
      <c r="S215" s="272"/>
      <c r="T215" s="121"/>
      <c r="U215" s="272"/>
      <c r="V215" s="121"/>
      <c r="W215" s="272"/>
      <c r="X215" s="121"/>
      <c r="Y215" s="272"/>
      <c r="Z215" s="121"/>
      <c r="AA215" s="272"/>
      <c r="AB215" s="121"/>
      <c r="AC215" s="272"/>
      <c r="AD215" s="121"/>
      <c r="AE215" s="272"/>
      <c r="AF215" s="121"/>
      <c r="AG215" s="272"/>
      <c r="AH215" s="121"/>
      <c r="AI215" s="272"/>
      <c r="AJ215" s="121"/>
      <c r="AK215" s="272"/>
      <c r="AL215" s="121"/>
      <c r="AM215" s="272"/>
      <c r="AN215" s="73">
        <f t="shared" si="53"/>
        <v>0</v>
      </c>
      <c r="AO215" s="440"/>
      <c r="AP215" s="158"/>
    </row>
    <row r="216" spans="3:42" ht="13.5" thickTop="1">
      <c r="G216" s="165"/>
      <c r="K216" s="168"/>
      <c r="L216" s="645" t="str">
        <f>IFERROR(IF((ROW(A3)*$M$211)&lt;12, TEXT(DATE(2000, MATCH($N$210, {"January","February","March","April","May","June","July","August","September","October","November","December"}, 0) + (ROW(A3)*$M$211), 1), "mmmm"), ""),"")</f>
        <v/>
      </c>
      <c r="M216" s="645"/>
      <c r="N216" s="165"/>
      <c r="O216" s="165" t="s">
        <v>136</v>
      </c>
      <c r="P216" s="48">
        <f>SUM(P209:P215)</f>
        <v>0</v>
      </c>
      <c r="Q216" s="49">
        <f>SUM(Q209:Q215)</f>
        <v>0</v>
      </c>
      <c r="R216" s="48">
        <f t="shared" ref="R216:AO216" si="54">SUM(R209:R215)</f>
        <v>0</v>
      </c>
      <c r="S216" s="49">
        <f t="shared" si="54"/>
        <v>0</v>
      </c>
      <c r="T216" s="48">
        <f t="shared" si="54"/>
        <v>0</v>
      </c>
      <c r="U216" s="49">
        <f t="shared" si="54"/>
        <v>0</v>
      </c>
      <c r="V216" s="48">
        <f t="shared" si="54"/>
        <v>0</v>
      </c>
      <c r="W216" s="49">
        <f t="shared" si="54"/>
        <v>0</v>
      </c>
      <c r="X216" s="48">
        <f t="shared" si="54"/>
        <v>0</v>
      </c>
      <c r="Y216" s="49">
        <f t="shared" si="54"/>
        <v>0</v>
      </c>
      <c r="Z216" s="48">
        <f t="shared" si="54"/>
        <v>0</v>
      </c>
      <c r="AA216" s="49">
        <f t="shared" si="54"/>
        <v>0</v>
      </c>
      <c r="AB216" s="48">
        <f t="shared" si="54"/>
        <v>0</v>
      </c>
      <c r="AC216" s="49">
        <f t="shared" si="54"/>
        <v>0</v>
      </c>
      <c r="AD216" s="48">
        <f t="shared" si="54"/>
        <v>0</v>
      </c>
      <c r="AE216" s="49">
        <f t="shared" si="54"/>
        <v>0</v>
      </c>
      <c r="AF216" s="48">
        <f t="shared" si="54"/>
        <v>0</v>
      </c>
      <c r="AG216" s="49">
        <f t="shared" si="54"/>
        <v>0</v>
      </c>
      <c r="AH216" s="48">
        <f t="shared" si="54"/>
        <v>0</v>
      </c>
      <c r="AI216" s="49">
        <f t="shared" si="54"/>
        <v>0</v>
      </c>
      <c r="AJ216" s="48">
        <f t="shared" si="54"/>
        <v>0</v>
      </c>
      <c r="AK216" s="49">
        <f t="shared" si="54"/>
        <v>0</v>
      </c>
      <c r="AL216" s="48">
        <f t="shared" si="54"/>
        <v>0</v>
      </c>
      <c r="AM216" s="49">
        <f t="shared" si="54"/>
        <v>0</v>
      </c>
      <c r="AN216" s="48">
        <f t="shared" si="54"/>
        <v>0</v>
      </c>
      <c r="AO216" s="75">
        <f t="shared" si="54"/>
        <v>0</v>
      </c>
      <c r="AP216" s="176"/>
    </row>
    <row r="217" spans="3:42" ht="13.5" thickBot="1">
      <c r="G217" s="168"/>
      <c r="K217" s="168"/>
      <c r="L217" s="645" t="str">
        <f>IFERROR(IF((ROW(A4)*$M$211)&lt;12, TEXT(DATE(2000, MATCH($N$210, {"January","February","March","April","May","June","July","August","September","October","November","December"}, 0) + (ROW(A4)*$M$211), 1), "mmmm"), ""),"")</f>
        <v/>
      </c>
      <c r="M217" s="645"/>
      <c r="N217" s="168"/>
      <c r="O217" s="168" t="s">
        <v>103</v>
      </c>
      <c r="P217" s="50"/>
      <c r="Q217" s="51">
        <f>P206+Q216</f>
        <v>0</v>
      </c>
      <c r="R217" s="50"/>
      <c r="S217" s="51">
        <f>R206+S216</f>
        <v>0</v>
      </c>
      <c r="T217" s="50"/>
      <c r="U217" s="51">
        <f>T206+U216</f>
        <v>0</v>
      </c>
      <c r="V217" s="50"/>
      <c r="W217" s="51">
        <f>V206+W216</f>
        <v>0</v>
      </c>
      <c r="X217" s="50"/>
      <c r="Y217" s="51">
        <f>X206+Y216</f>
        <v>0</v>
      </c>
      <c r="Z217" s="50"/>
      <c r="AA217" s="51">
        <f>Z206+AA216</f>
        <v>0</v>
      </c>
      <c r="AB217" s="50"/>
      <c r="AC217" s="51">
        <f>AB206+AC216</f>
        <v>0</v>
      </c>
      <c r="AD217" s="50"/>
      <c r="AE217" s="51">
        <f>AD206+AE216</f>
        <v>0</v>
      </c>
      <c r="AF217" s="50"/>
      <c r="AG217" s="51">
        <f>AF206+AG216</f>
        <v>0</v>
      </c>
      <c r="AH217" s="50"/>
      <c r="AI217" s="51">
        <f>AH206+AI216</f>
        <v>0</v>
      </c>
      <c r="AJ217" s="50"/>
      <c r="AK217" s="51">
        <f>AJ206+AK216</f>
        <v>0</v>
      </c>
      <c r="AL217" s="50"/>
      <c r="AM217" s="51">
        <f>AL206+AM216</f>
        <v>0</v>
      </c>
      <c r="AN217" s="76"/>
      <c r="AO217" s="77">
        <f>AN206+AO216</f>
        <v>0</v>
      </c>
      <c r="AP217" s="177"/>
    </row>
    <row r="218" spans="3:42">
      <c r="K218" s="168"/>
      <c r="L218" s="645" t="str">
        <f>IFERROR(IF((ROW(A5)*$M$211)&lt;12, TEXT(DATE(2000, MATCH($N$210, {"January","February","March","April","May","June","July","August","September","October","November","December"}, 0) + (ROW(A5)*$M$211), 1), "mmmm"), ""),"")</f>
        <v/>
      </c>
      <c r="M218" s="645"/>
    </row>
    <row r="219" spans="3:42">
      <c r="K219" s="168"/>
      <c r="L219" s="645" t="str">
        <f>IFERROR(IF((ROW(A6)*$M$211)&lt;12,TEXT(DATE(2000,MATCH($N$210,{"January","February","March","April","May","June","July","August","September","October","November","December"},0)+(ROW(A6)*$M$211),1),"mmmm"),""),"")</f>
        <v/>
      </c>
      <c r="M219" s="645"/>
    </row>
    <row r="220" spans="3:42">
      <c r="K220" s="168"/>
      <c r="L220" s="645" t="str">
        <f>IFERROR(IF((ROW(A7)*$M$211)&lt;12, TEXT(DATE(2000, MATCH($N$210, {"January","February","March","April","May","June","July","August","September","October","November","December"}, 0) + (ROW(A7)*$M$211), 1), "mmmm"), ""),"")</f>
        <v/>
      </c>
      <c r="M220" s="645"/>
    </row>
    <row r="221" spans="3:42">
      <c r="K221" s="168"/>
      <c r="L221" s="645" t="str">
        <f>IFERROR(IF((ROW(A8)*$M$211)&lt;12, TEXT(DATE(2000, MATCH($N$210, {"January","February","March","April","May","June","July","August","September","October","November","December"}, 0) + (ROW(A8)*$M$211), 1), "mmmm"), ""),"")</f>
        <v/>
      </c>
      <c r="M221" s="645"/>
    </row>
    <row r="222" spans="3:42">
      <c r="K222" s="168"/>
      <c r="L222" s="645" t="str">
        <f>IFERROR(IF((ROW(A9)*$M$211)&lt;12, TEXT(DATE(2000, MATCH($N$210, {"January","February","March","April","May","June","July","August","September","October","November","December"}, 0) + (ROW(A9)*$M$211), 1), "mmmm"), ""),"")</f>
        <v/>
      </c>
      <c r="M222" s="645"/>
    </row>
    <row r="223" spans="3:42">
      <c r="I223" s="437"/>
      <c r="K223" s="168"/>
      <c r="L223" s="645" t="str">
        <f>IFERROR(IF((ROW(A10)*$M$211)&lt;12, TEXT(DATE(2000, MATCH($N$210, {"January","February","March","April","May","June","July","August","September","October","November","December"}, 0) + (ROW(A10)*$M$211), 1), "mmmm"), ""),"")</f>
        <v/>
      </c>
      <c r="M223" s="645"/>
    </row>
    <row r="224" spans="3:42">
      <c r="I224" s="437"/>
      <c r="L224" s="645" t="str">
        <f>IFERROR(IF((ROW(A11)*$M$211)&lt;12, TEXT(DATE(2000, MATCH($N$210, {"January","February","March","April","May","June","July","August","September","October","November","December"}, 0) + (ROW(A11)*$M$211), 1), "mmmm"), ""),"")</f>
        <v/>
      </c>
      <c r="M224" s="645"/>
    </row>
    <row r="225" spans="12:12">
      <c r="L225" s="147"/>
    </row>
    <row r="226" spans="12:12">
      <c r="L226" s="147"/>
    </row>
    <row r="227" spans="12:12">
      <c r="L227" s="147"/>
    </row>
    <row r="228" spans="12:12">
      <c r="L228" s="147"/>
    </row>
  </sheetData>
  <sheetProtection algorithmName="SHA-512" hashValue="tUtYQupC4BG3nRPZN0kCY9cssz4odTRz2mtGesufgZvNUKF5GysDwx9wNUNywGGEYajWtipaOdk31CFHLex7BQ==" saltValue="1s+8r64V+ybzksFGd4qSbA==" spinCount="100000" sheet="1" formatCells="0" formatColumns="0" formatRows="0" insertColumns="0" insertRows="0" insertHyperlinks="0" deleteColumns="0" deleteRows="0" selectLockedCells="1" sort="0" autoFilter="0" pivotTables="0"/>
  <autoFilter ref="A5:B205" xr:uid="{00000000-0001-0000-0000-000000000000}"/>
  <mergeCells count="57">
    <mergeCell ref="P206:Q206"/>
    <mergeCell ref="R206:S206"/>
    <mergeCell ref="O207:O208"/>
    <mergeCell ref="P207:Q207"/>
    <mergeCell ref="R207:S207"/>
    <mergeCell ref="T207:U207"/>
    <mergeCell ref="V207:W207"/>
    <mergeCell ref="X207:Y207"/>
    <mergeCell ref="AJ206:AK206"/>
    <mergeCell ref="T206:U206"/>
    <mergeCell ref="X206:Y206"/>
    <mergeCell ref="V206:W206"/>
    <mergeCell ref="AJ207:AK207"/>
    <mergeCell ref="AL4:AM4"/>
    <mergeCell ref="AH4:AI4"/>
    <mergeCell ref="AJ4:AK4"/>
    <mergeCell ref="AL206:AM206"/>
    <mergeCell ref="Z206:AA206"/>
    <mergeCell ref="AB206:AC206"/>
    <mergeCell ref="AD206:AE206"/>
    <mergeCell ref="AF206:AG206"/>
    <mergeCell ref="AH206:AI206"/>
    <mergeCell ref="AB4:AC4"/>
    <mergeCell ref="AD4:AE4"/>
    <mergeCell ref="AF4:AG4"/>
    <mergeCell ref="C1:F1"/>
    <mergeCell ref="C2:F2"/>
    <mergeCell ref="C3:F3"/>
    <mergeCell ref="C4:F4"/>
    <mergeCell ref="Z4:AA4"/>
    <mergeCell ref="V4:W4"/>
    <mergeCell ref="T4:U4"/>
    <mergeCell ref="P4:Q4"/>
    <mergeCell ref="R4:S4"/>
    <mergeCell ref="X4:Y4"/>
    <mergeCell ref="J4:K4"/>
    <mergeCell ref="AL207:AM207"/>
    <mergeCell ref="Z207:AA207"/>
    <mergeCell ref="AB207:AC207"/>
    <mergeCell ref="AD207:AE207"/>
    <mergeCell ref="AF207:AG207"/>
    <mergeCell ref="AH207:AI207"/>
    <mergeCell ref="L224:M224"/>
    <mergeCell ref="L212:M212"/>
    <mergeCell ref="N207:N208"/>
    <mergeCell ref="L219:M219"/>
    <mergeCell ref="L220:M220"/>
    <mergeCell ref="L221:M221"/>
    <mergeCell ref="L222:M222"/>
    <mergeCell ref="L223:M223"/>
    <mergeCell ref="L214:M214"/>
    <mergeCell ref="L215:M215"/>
    <mergeCell ref="L216:M216"/>
    <mergeCell ref="L217:M217"/>
    <mergeCell ref="L218:M218"/>
    <mergeCell ref="K210:L210"/>
    <mergeCell ref="L213:M213"/>
  </mergeCells>
  <phoneticPr fontId="0" type="noConversion"/>
  <dataValidations count="2">
    <dataValidation type="whole" allowBlank="1" showInputMessage="1" showErrorMessage="1" sqref="A6:A205" xr:uid="{FC6CABFF-8D92-405A-A730-A7B61FC37347}">
      <formula1>0</formula1>
      <formula2>1000000</formula2>
    </dataValidation>
    <dataValidation type="whole" allowBlank="1" showInputMessage="1" showErrorMessage="1" sqref="O6:O205 M6:M205" xr:uid="{10DFEAFF-0852-43DC-AF45-FB1FBD888625}">
      <formula1>0</formula1>
      <formula2>10000</formula2>
    </dataValidation>
  </dataValidations>
  <printOptions horizontalCentered="1" gridLines="1"/>
  <pageMargins left="0" right="0" top="0.25" bottom="0.25" header="0.5" footer="0.5"/>
  <pageSetup scale="27" fitToHeight="0" orientation="landscape" r:id="rId1"/>
  <headerFooter alignWithMargins="0"/>
  <drawing r:id="rId2"/>
  <extLst>
    <ext xmlns:x14="http://schemas.microsoft.com/office/spreadsheetml/2009/9/main" uri="{CCE6A557-97BC-4b89-ADB6-D9C93CAAB3DF}">
      <x14:dataValidations xmlns:xm="http://schemas.microsoft.com/office/excel/2006/main" count="5">
        <x14:dataValidation type="list" showInputMessage="1" showErrorMessage="1" xr:uid="{CB54FDED-E264-4FC9-AB91-BACFCD199179}">
          <x14:formula1>
            <xm:f>'HIDE - EQUIP TYPES'!$B$3:$B$156</xm:f>
          </x14:formula1>
          <xm:sqref>B6:B205</xm:sqref>
        </x14:dataValidation>
        <x14:dataValidation type="list" showInputMessage="1" showErrorMessage="1" xr:uid="{D88A383A-E7C6-44E1-ACE4-A76EDECDB6D8}">
          <x14:formula1>
            <xm:f>'HIDE - DATA'!$A$43:$A$54</xm:f>
          </x14:formula1>
          <xm:sqref>N209:N211</xm:sqref>
        </x14:dataValidation>
        <x14:dataValidation type="list" allowBlank="1" showInputMessage="1" showErrorMessage="1" xr:uid="{E564E82F-9DA3-4E44-8B8D-9CDAF4EF0C2B}">
          <x14:formula1>
            <xm:f>'BELTS '!$A$3:$A$770</xm:f>
          </x14:formula1>
          <xm:sqref>L6:L205</xm:sqref>
        </x14:dataValidation>
        <x14:dataValidation type="list" allowBlank="1" showInputMessage="1" showErrorMessage="1" xr:uid="{5E4E1F93-186B-41EB-980A-F20E85B2D796}">
          <x14:formula1>
            <xm:f>FILTERS!$A$3:$A$47</xm:f>
          </x14:formula1>
          <xm:sqref>N6:N205</xm:sqref>
        </x14:dataValidation>
        <x14:dataValidation type="list" allowBlank="1" showInputMessage="1" showErrorMessage="1" xr:uid="{31FFE056-D58B-463F-BD07-69CC670B2990}">
          <x14:formula1>
            <xm:f>'HIDE - DATA'!$A$36:$A$39</xm:f>
          </x14:formula1>
          <xm:sqref>M210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F2090-03B4-4D07-AA97-7C9645E888C3}">
  <sheetPr>
    <pageSetUpPr fitToPage="1"/>
  </sheetPr>
  <dimension ref="A1:S142"/>
  <sheetViews>
    <sheetView zoomScaleNormal="100" workbookViewId="0">
      <selection activeCell="C21" sqref="C21"/>
    </sheetView>
  </sheetViews>
  <sheetFormatPr defaultColWidth="0" defaultRowHeight="15" zeroHeight="1"/>
  <cols>
    <col min="1" max="1" width="37.7109375" style="316" customWidth="1"/>
    <col min="2" max="2" width="14.7109375" style="316" customWidth="1"/>
    <col min="3" max="3" width="15.140625" style="316" customWidth="1"/>
    <col min="4" max="4" width="18" style="318" customWidth="1"/>
    <col min="5" max="5" width="18.85546875" style="318" customWidth="1"/>
    <col min="6" max="6" width="6.5703125" style="316" customWidth="1"/>
    <col min="7" max="7" width="16" style="317" customWidth="1"/>
    <col min="8" max="8" width="10" style="316" bestFit="1" customWidth="1"/>
    <col min="9" max="9" width="14" style="316" customWidth="1"/>
    <col min="10" max="11" width="13.28515625" style="316" customWidth="1"/>
    <col min="12" max="13" width="11.28515625" style="316" customWidth="1"/>
    <col min="14" max="14" width="13.28515625" style="316" customWidth="1"/>
    <col min="15" max="19" width="11.28515625" style="316" customWidth="1"/>
    <col min="20" max="16384" width="11.28515625" style="316" hidden="1"/>
  </cols>
  <sheetData>
    <row r="1" spans="1:18" ht="21" thickBot="1">
      <c r="A1" s="666" t="s">
        <v>1640</v>
      </c>
      <c r="B1" s="666"/>
      <c r="C1" s="666"/>
      <c r="D1" s="666"/>
      <c r="E1" s="666"/>
    </row>
    <row r="2" spans="1:18" ht="21" thickBot="1">
      <c r="A2" s="434" t="s">
        <v>1624</v>
      </c>
      <c r="B2" s="435" t="s">
        <v>1575</v>
      </c>
      <c r="C2" s="432"/>
      <c r="D2" s="432"/>
      <c r="E2" s="433"/>
    </row>
    <row r="3" spans="1:18">
      <c r="A3" s="667" t="s">
        <v>1469</v>
      </c>
      <c r="B3" s="667"/>
      <c r="C3" s="667"/>
      <c r="D3" s="667"/>
      <c r="E3" s="667"/>
    </row>
    <row r="4" spans="1:18" ht="9.75" customHeight="1">
      <c r="G4" s="319"/>
    </row>
    <row r="5" spans="1:18" ht="15.75" customHeight="1" thickBot="1">
      <c r="A5" s="431" t="s">
        <v>1621</v>
      </c>
      <c r="D5" s="447"/>
      <c r="G5" s="319"/>
    </row>
    <row r="6" spans="1:18" s="320" customFormat="1" ht="15.75">
      <c r="A6" s="407" t="s">
        <v>1421</v>
      </c>
      <c r="B6" s="408" t="s">
        <v>6</v>
      </c>
      <c r="C6" s="409" t="s">
        <v>1470</v>
      </c>
      <c r="D6" s="410" t="s">
        <v>1471</v>
      </c>
      <c r="E6" s="410" t="s">
        <v>1</v>
      </c>
      <c r="F6" s="408"/>
      <c r="G6" s="408"/>
      <c r="H6" s="408"/>
      <c r="I6" s="408"/>
      <c r="J6" s="408"/>
      <c r="K6" s="408"/>
      <c r="L6" s="408"/>
      <c r="M6" s="408"/>
      <c r="N6" s="408"/>
      <c r="O6" s="411"/>
    </row>
    <row r="7" spans="1:18" s="320" customFormat="1" ht="15.75" customHeight="1">
      <c r="A7" s="412" t="s">
        <v>1472</v>
      </c>
      <c r="C7" s="413"/>
      <c r="D7" s="321"/>
      <c r="E7" s="321"/>
      <c r="G7" s="414"/>
      <c r="H7" s="414" t="s">
        <v>1473</v>
      </c>
      <c r="I7" s="414"/>
      <c r="J7" s="414"/>
      <c r="K7" s="414"/>
      <c r="L7" s="414"/>
      <c r="M7" s="414"/>
      <c r="N7" s="414"/>
      <c r="O7" s="415"/>
    </row>
    <row r="8" spans="1:18" ht="15.75" customHeight="1">
      <c r="A8" s="416" t="s">
        <v>1481</v>
      </c>
      <c r="B8" s="438">
        <f>ESTIMATE!AN206</f>
        <v>0</v>
      </c>
      <c r="C8" s="417"/>
      <c r="G8" s="414"/>
      <c r="H8" s="414" t="s">
        <v>1474</v>
      </c>
      <c r="I8" s="414" t="s">
        <v>1459</v>
      </c>
      <c r="J8" s="414" t="s">
        <v>1460</v>
      </c>
      <c r="K8" s="414" t="s">
        <v>1475</v>
      </c>
      <c r="L8" s="414" t="s">
        <v>1462</v>
      </c>
      <c r="M8" s="414" t="s">
        <v>1055</v>
      </c>
      <c r="N8" s="414" t="s">
        <v>1463</v>
      </c>
      <c r="O8" s="415" t="s">
        <v>1</v>
      </c>
      <c r="R8" s="316" t="s">
        <v>1476</v>
      </c>
    </row>
    <row r="9" spans="1:18" ht="15.75" customHeight="1">
      <c r="A9" s="418" t="s">
        <v>6</v>
      </c>
      <c r="B9" s="322"/>
      <c r="G9" s="419"/>
      <c r="H9" s="443">
        <f>IF($B$2="Milwaukee",'HIDE - LABOR RATES'!$D$3,IF($B$2="Madison",'HIDE - LABOR RATES'!$E$3,IF($B$2="Green Bay",'HIDE - LABOR RATES'!$F$3)))</f>
        <v>92.51</v>
      </c>
      <c r="I9" s="443">
        <f>IF($B$2="Milwaukee",'HIDE - LABOR RATES'!$D$4,IF($B$2="Madison",'HIDE - LABOR RATES'!$E$4,IF($B$2="Green Bay",'HIDE - LABOR RATES'!$F$4)))</f>
        <v>98.41</v>
      </c>
      <c r="J9" s="443">
        <f>IF($B$2="Milwaukee",'HIDE - LABOR RATES'!$D$5,IF($B$2="Madison",'HIDE - LABOR RATES'!$E$5,IF($B$2="Green Bay",'HIDE - LABOR RATES'!$F$5)))</f>
        <v>101.35</v>
      </c>
      <c r="K9" s="443">
        <f>IF($B$2="Milwaukee",'HIDE - LABOR RATES'!$D$6,IF($B$2="Madison",'HIDE - LABOR RATES'!$E$6,IF($B$2="Green Bay",'HIDE - LABOR RATES'!$F$6)))</f>
        <v>104.3</v>
      </c>
      <c r="L9" s="443">
        <f>IF($B$2="Milwaukee",'HIDE - LABOR RATES'!$D$7,IF($B$2="Madison",'HIDE - LABOR RATES'!$E$7,IF($B$2="Green Bay",'HIDE - LABOR RATES'!$F$7)))</f>
        <v>110.19</v>
      </c>
      <c r="M9" s="476">
        <f>IF($B$2="Milwaukee",'HIDE - LABOR RATES'!$D$8,IF($B$2="Madison",'HIDE - LABOR RATES'!$E$8,IF($B$2="Green Bay",'HIDE - LABOR RATES'!$F$8)))</f>
        <v>124.92</v>
      </c>
      <c r="N9" s="476">
        <f>IF($B$2="Milwaukee",'HIDE - LABOR RATES'!$D$9,IF($B$2="Madison",'HIDE - LABOR RATES'!$E$9,IF($B$2="Green Bay",'HIDE - LABOR RATES'!$F$9)))</f>
        <v>130.81</v>
      </c>
      <c r="O9" s="420"/>
      <c r="R9" s="316">
        <f>2.29+0.54+0.02+0.44+3.09+2.59</f>
        <v>8.9699999999999989</v>
      </c>
    </row>
    <row r="10" spans="1:18" ht="15.75" customHeight="1">
      <c r="A10" s="421" t="s">
        <v>1477</v>
      </c>
      <c r="C10" s="323">
        <f>N10</f>
        <v>0</v>
      </c>
      <c r="D10" s="318">
        <f>N9</f>
        <v>130.81</v>
      </c>
      <c r="E10" s="318">
        <f>C10*D10</f>
        <v>0</v>
      </c>
      <c r="G10" s="422" t="s">
        <v>1763</v>
      </c>
      <c r="H10" s="462"/>
      <c r="I10" s="462"/>
      <c r="J10" s="462"/>
      <c r="K10" s="462"/>
      <c r="L10" s="462"/>
      <c r="M10" s="462"/>
      <c r="N10" s="462"/>
      <c r="O10" s="423">
        <f>SUM(H10:N10)</f>
        <v>0</v>
      </c>
    </row>
    <row r="11" spans="1:18" ht="15.75" customHeight="1">
      <c r="A11" s="421" t="s">
        <v>1478</v>
      </c>
      <c r="C11" s="323">
        <f>M10</f>
        <v>0</v>
      </c>
      <c r="D11" s="318">
        <f>M9</f>
        <v>124.92</v>
      </c>
      <c r="E11" s="318">
        <f>C11*D11</f>
        <v>0</v>
      </c>
      <c r="G11" s="424"/>
      <c r="H11" s="442">
        <f>+H9*H10</f>
        <v>0</v>
      </c>
      <c r="I11" s="442">
        <f t="shared" ref="I11:N11" si="0">+I9*I10</f>
        <v>0</v>
      </c>
      <c r="J11" s="442">
        <f t="shared" si="0"/>
        <v>0</v>
      </c>
      <c r="K11" s="442">
        <f t="shared" si="0"/>
        <v>0</v>
      </c>
      <c r="L11" s="442">
        <f t="shared" si="0"/>
        <v>0</v>
      </c>
      <c r="M11" s="442">
        <f t="shared" si="0"/>
        <v>0</v>
      </c>
      <c r="N11" s="442">
        <f t="shared" si="0"/>
        <v>0</v>
      </c>
      <c r="O11" s="441">
        <f>SUM(H11:N11)</f>
        <v>0</v>
      </c>
    </row>
    <row r="12" spans="1:18" ht="15.75" customHeight="1">
      <c r="A12" s="421" t="s">
        <v>1620</v>
      </c>
      <c r="C12" s="323">
        <f>SUM(H10:L10)</f>
        <v>0</v>
      </c>
      <c r="D12" s="318" t="str">
        <f>IFERROR(H12,J9)</f>
        <v/>
      </c>
      <c r="E12" s="318" t="str">
        <f>IFERROR(C12*D12,"")</f>
        <v/>
      </c>
      <c r="G12" s="419" t="s">
        <v>1479</v>
      </c>
      <c r="H12" s="444" t="str">
        <f>IFERROR(O11/O10,"")</f>
        <v/>
      </c>
      <c r="I12" s="426"/>
      <c r="J12" s="426"/>
      <c r="K12" s="426"/>
      <c r="L12" s="426"/>
      <c r="M12" s="426"/>
      <c r="N12" s="426"/>
      <c r="O12" s="420"/>
    </row>
    <row r="13" spans="1:18" ht="15.75" customHeight="1">
      <c r="A13" s="421"/>
      <c r="C13" s="376"/>
      <c r="O13" s="427"/>
    </row>
    <row r="14" spans="1:18" ht="15.75" customHeight="1" thickBot="1">
      <c r="A14" s="428" t="s">
        <v>1480</v>
      </c>
      <c r="B14" s="351"/>
      <c r="C14" s="463">
        <f>B8-SUM(C10:C12)</f>
        <v>0</v>
      </c>
      <c r="D14" s="355">
        <f>D10</f>
        <v>130.81</v>
      </c>
      <c r="E14" s="355">
        <f>C14*D14</f>
        <v>0</v>
      </c>
      <c r="F14" s="351"/>
      <c r="G14" s="429"/>
      <c r="H14" s="351"/>
      <c r="I14" s="351"/>
      <c r="J14" s="351"/>
      <c r="K14" s="351"/>
      <c r="L14" s="351"/>
      <c r="M14" s="351"/>
      <c r="N14" s="351"/>
      <c r="O14" s="430"/>
    </row>
    <row r="15" spans="1:18" ht="15.75" customHeight="1">
      <c r="C15" s="322"/>
      <c r="R15" s="316">
        <f>2.63+0.61+0.02+0.44+3.54+2.97</f>
        <v>10.210000000000001</v>
      </c>
    </row>
    <row r="16" spans="1:18" ht="15.75" customHeight="1" thickBot="1">
      <c r="A16" s="431" t="s">
        <v>1622</v>
      </c>
      <c r="C16" s="322"/>
    </row>
    <row r="17" spans="1:18" s="320" customFormat="1" ht="15.75">
      <c r="A17" s="407" t="s">
        <v>1421</v>
      </c>
      <c r="B17" s="408" t="s">
        <v>6</v>
      </c>
      <c r="C17" s="409" t="s">
        <v>1470</v>
      </c>
      <c r="D17" s="410" t="s">
        <v>1471</v>
      </c>
      <c r="E17" s="410" t="s">
        <v>1</v>
      </c>
      <c r="F17" s="408"/>
      <c r="G17" s="408"/>
      <c r="H17" s="408"/>
      <c r="I17" s="408"/>
      <c r="J17" s="408"/>
      <c r="K17" s="408"/>
      <c r="L17" s="408"/>
      <c r="M17" s="408"/>
      <c r="N17" s="408"/>
      <c r="O17" s="411"/>
    </row>
    <row r="18" spans="1:18" s="320" customFormat="1" ht="15.75" customHeight="1">
      <c r="A18" s="412" t="s">
        <v>1472</v>
      </c>
      <c r="C18" s="413"/>
      <c r="D18" s="321"/>
      <c r="E18" s="321"/>
      <c r="G18" s="414"/>
      <c r="H18" s="414" t="s">
        <v>1473</v>
      </c>
      <c r="I18" s="414"/>
      <c r="J18" s="414"/>
      <c r="K18" s="414"/>
      <c r="L18" s="414"/>
      <c r="M18" s="414"/>
      <c r="N18" s="414"/>
      <c r="O18" s="415"/>
    </row>
    <row r="19" spans="1:18" ht="15.75" customHeight="1">
      <c r="A19" s="416" t="s">
        <v>1481</v>
      </c>
      <c r="B19" s="438">
        <f>ESTIMATE!AO209</f>
        <v>0</v>
      </c>
      <c r="C19" s="417"/>
      <c r="G19" s="414"/>
      <c r="H19" s="414" t="s">
        <v>1474</v>
      </c>
      <c r="I19" s="414" t="s">
        <v>1459</v>
      </c>
      <c r="J19" s="414" t="s">
        <v>1460</v>
      </c>
      <c r="K19" s="414" t="s">
        <v>1475</v>
      </c>
      <c r="L19" s="414" t="s">
        <v>1462</v>
      </c>
      <c r="M19" s="414" t="s">
        <v>1055</v>
      </c>
      <c r="N19" s="414" t="s">
        <v>1463</v>
      </c>
      <c r="O19" s="415" t="s">
        <v>1</v>
      </c>
      <c r="R19" s="316" t="s">
        <v>1476</v>
      </c>
    </row>
    <row r="20" spans="1:18" ht="15.75" customHeight="1">
      <c r="A20" s="418" t="s">
        <v>6</v>
      </c>
      <c r="B20" s="322"/>
      <c r="G20" s="419"/>
      <c r="H20" s="443">
        <f>IF($B$2="Milwaukee",'HIDE - LABOR RATES'!$D$3,IF($B$2="Madison",'HIDE - LABOR RATES'!$E$3,IF($B$2="Green Bay",'HIDE - LABOR RATES'!$F$3)))</f>
        <v>92.51</v>
      </c>
      <c r="I20" s="443">
        <f>IF($B$2="Milwaukee",'HIDE - LABOR RATES'!$D$4,IF($B$2="Madison",'HIDE - LABOR RATES'!$E$4,IF($B$2="Green Bay",'HIDE - LABOR RATES'!$F$4)))</f>
        <v>98.41</v>
      </c>
      <c r="J20" s="443">
        <f>IF($B$2="Milwaukee",'HIDE - LABOR RATES'!$D$5,IF($B$2="Madison",'HIDE - LABOR RATES'!$E$5,IF($B$2="Green Bay",'HIDE - LABOR RATES'!$F$5)))</f>
        <v>101.35</v>
      </c>
      <c r="K20" s="443">
        <f>IF($B$2="Milwaukee",'HIDE - LABOR RATES'!$D$6,IF($B$2="Madison",'HIDE - LABOR RATES'!$E$6,IF($B$2="Green Bay",'HIDE - LABOR RATES'!$F$6)))</f>
        <v>104.3</v>
      </c>
      <c r="L20" s="443">
        <f>IF($B$2="Milwaukee",'HIDE - LABOR RATES'!$D$7,IF($B$2="Madison",'HIDE - LABOR RATES'!$E$7,IF($B$2="Green Bay",'HIDE - LABOR RATES'!$F$7)))</f>
        <v>110.19</v>
      </c>
      <c r="M20" s="476">
        <f>IF($B$2="Milwaukee",'HIDE - LABOR RATES'!$D$8,IF($B$2="Madison",'HIDE - LABOR RATES'!$E$8,IF($B$2="Green Bay",'HIDE - LABOR RATES'!$F$8)))</f>
        <v>124.92</v>
      </c>
      <c r="N20" s="476">
        <f>IF($B$2="Milwaukee",'HIDE - LABOR RATES'!$D$9,IF($B$2="Madison",'HIDE - LABOR RATES'!$E$9,IF($B$2="Green Bay",'HIDE - LABOR RATES'!$F$9)))</f>
        <v>130.81</v>
      </c>
      <c r="O20" s="420"/>
      <c r="R20" s="316">
        <f>2.29+0.54+0.02+0.44+3.09+2.59</f>
        <v>8.9699999999999989</v>
      </c>
    </row>
    <row r="21" spans="1:18" ht="15.75" customHeight="1">
      <c r="A21" s="421" t="s">
        <v>1477</v>
      </c>
      <c r="C21" s="323">
        <f>N21</f>
        <v>0</v>
      </c>
      <c r="D21" s="318">
        <f>N20</f>
        <v>130.81</v>
      </c>
      <c r="E21" s="318">
        <f>C21*D21</f>
        <v>0</v>
      </c>
      <c r="G21" s="422" t="s">
        <v>1763</v>
      </c>
      <c r="H21" s="462"/>
      <c r="I21" s="462"/>
      <c r="J21" s="462"/>
      <c r="K21" s="462"/>
      <c r="L21" s="462"/>
      <c r="M21" s="462"/>
      <c r="N21" s="462"/>
      <c r="O21" s="423">
        <f>SUM(H21:N21)</f>
        <v>0</v>
      </c>
    </row>
    <row r="22" spans="1:18" ht="15.75" customHeight="1">
      <c r="A22" s="421" t="s">
        <v>1478</v>
      </c>
      <c r="C22" s="323">
        <f>M21</f>
        <v>0</v>
      </c>
      <c r="D22" s="318">
        <f>M20</f>
        <v>124.92</v>
      </c>
      <c r="E22" s="318">
        <f>C22*D22</f>
        <v>0</v>
      </c>
      <c r="G22" s="424"/>
      <c r="H22" s="442">
        <f>+H20*H21</f>
        <v>0</v>
      </c>
      <c r="I22" s="442">
        <f t="shared" ref="I22:N22" si="1">+I20*I21</f>
        <v>0</v>
      </c>
      <c r="J22" s="442">
        <f t="shared" si="1"/>
        <v>0</v>
      </c>
      <c r="K22" s="442">
        <f t="shared" si="1"/>
        <v>0</v>
      </c>
      <c r="L22" s="442">
        <f t="shared" si="1"/>
        <v>0</v>
      </c>
      <c r="M22" s="442">
        <f t="shared" si="1"/>
        <v>0</v>
      </c>
      <c r="N22" s="442">
        <f t="shared" si="1"/>
        <v>0</v>
      </c>
      <c r="O22" s="441">
        <f>SUM(H22:N22)</f>
        <v>0</v>
      </c>
    </row>
    <row r="23" spans="1:18" ht="15.75" customHeight="1">
      <c r="A23" s="421" t="s">
        <v>1620</v>
      </c>
      <c r="C23" s="323">
        <f>SUM(H21:L21)</f>
        <v>0</v>
      </c>
      <c r="D23" s="318" t="str">
        <f>IFERROR(H23,J20)</f>
        <v/>
      </c>
      <c r="E23" s="318" t="str">
        <f>IFERROR(C23*D23,"")</f>
        <v/>
      </c>
      <c r="G23" s="419" t="s">
        <v>1479</v>
      </c>
      <c r="H23" s="425" t="str">
        <f>IFERROR(O22/O21,"")</f>
        <v/>
      </c>
      <c r="I23" s="426"/>
      <c r="J23" s="426"/>
      <c r="K23" s="426"/>
      <c r="L23" s="426"/>
      <c r="M23" s="426"/>
      <c r="N23" s="426"/>
      <c r="O23" s="420"/>
    </row>
    <row r="24" spans="1:18" ht="15.75" customHeight="1">
      <c r="A24" s="421"/>
      <c r="C24" s="376"/>
      <c r="O24" s="427"/>
    </row>
    <row r="25" spans="1:18" ht="15.75" customHeight="1" thickBot="1">
      <c r="A25" s="428" t="s">
        <v>1480</v>
      </c>
      <c r="B25" s="351"/>
      <c r="C25" s="463">
        <f>B19-SUM(C21:C23)</f>
        <v>0</v>
      </c>
      <c r="D25" s="355">
        <f>D21</f>
        <v>130.81</v>
      </c>
      <c r="E25" s="355">
        <f>C25*D25</f>
        <v>0</v>
      </c>
      <c r="F25" s="351"/>
      <c r="G25" s="429"/>
      <c r="H25" s="351"/>
      <c r="I25" s="351"/>
      <c r="J25" s="351"/>
      <c r="K25" s="351"/>
      <c r="L25" s="351"/>
      <c r="M25" s="351"/>
      <c r="N25" s="351"/>
      <c r="O25" s="430"/>
    </row>
    <row r="26" spans="1:18" ht="15.75" customHeight="1">
      <c r="C26" s="322"/>
      <c r="R26" s="316">
        <f>2.63+0.61+0.02+0.44+3.54+2.97</f>
        <v>10.210000000000001</v>
      </c>
    </row>
    <row r="27" spans="1:18" ht="15.75" customHeight="1" thickBot="1">
      <c r="A27" s="431" t="s">
        <v>1623</v>
      </c>
      <c r="C27" s="322"/>
    </row>
    <row r="28" spans="1:18" s="320" customFormat="1" ht="15.75">
      <c r="A28" s="407" t="s">
        <v>1421</v>
      </c>
      <c r="B28" s="408" t="s">
        <v>6</v>
      </c>
      <c r="C28" s="409" t="s">
        <v>1470</v>
      </c>
      <c r="D28" s="410" t="s">
        <v>1471</v>
      </c>
      <c r="E28" s="410" t="s">
        <v>1</v>
      </c>
      <c r="F28" s="408"/>
      <c r="G28" s="408"/>
      <c r="H28" s="408"/>
      <c r="I28" s="408"/>
      <c r="J28" s="408"/>
      <c r="K28" s="408"/>
      <c r="L28" s="408"/>
      <c r="M28" s="408"/>
      <c r="N28" s="408"/>
      <c r="O28" s="411"/>
    </row>
    <row r="29" spans="1:18" s="320" customFormat="1" ht="15.75" customHeight="1">
      <c r="A29" s="412" t="s">
        <v>1472</v>
      </c>
      <c r="C29" s="413"/>
      <c r="D29" s="321"/>
      <c r="E29" s="321"/>
      <c r="G29" s="414"/>
      <c r="H29" s="414" t="s">
        <v>1473</v>
      </c>
      <c r="I29" s="414"/>
      <c r="J29" s="414"/>
      <c r="K29" s="414"/>
      <c r="L29" s="414"/>
      <c r="M29" s="414"/>
      <c r="N29" s="414"/>
      <c r="O29" s="415"/>
    </row>
    <row r="30" spans="1:18" ht="15.75" customHeight="1">
      <c r="A30" s="416" t="s">
        <v>1481</v>
      </c>
      <c r="B30" s="438">
        <f>ESTIMATE!AO210</f>
        <v>0</v>
      </c>
      <c r="C30" s="417"/>
      <c r="G30" s="414"/>
      <c r="H30" s="414" t="s">
        <v>1474</v>
      </c>
      <c r="I30" s="414" t="s">
        <v>1459</v>
      </c>
      <c r="J30" s="414" t="s">
        <v>1460</v>
      </c>
      <c r="K30" s="414" t="s">
        <v>1475</v>
      </c>
      <c r="L30" s="414" t="s">
        <v>1462</v>
      </c>
      <c r="M30" s="414" t="s">
        <v>1055</v>
      </c>
      <c r="N30" s="414" t="s">
        <v>1463</v>
      </c>
      <c r="O30" s="415" t="s">
        <v>1</v>
      </c>
      <c r="R30" s="316" t="s">
        <v>1476</v>
      </c>
    </row>
    <row r="31" spans="1:18" ht="15.75" customHeight="1">
      <c r="A31" s="418" t="s">
        <v>6</v>
      </c>
      <c r="B31" s="322"/>
      <c r="G31" s="419"/>
      <c r="H31" s="443">
        <f>IF($B$2="Milwaukee",'HIDE - LABOR RATES'!$D$3,IF($B$2="Madison",'HIDE - LABOR RATES'!$E$3,IF($B$2="Green Bay",'HIDE - LABOR RATES'!$F$3)))</f>
        <v>92.51</v>
      </c>
      <c r="I31" s="443">
        <f>IF($B$2="Milwaukee",'HIDE - LABOR RATES'!$D$4,IF($B$2="Madison",'HIDE - LABOR RATES'!$E$4,IF($B$2="Green Bay",'HIDE - LABOR RATES'!$F$4)))</f>
        <v>98.41</v>
      </c>
      <c r="J31" s="443">
        <f>IF($B$2="Milwaukee",'HIDE - LABOR RATES'!$D$5,IF($B$2="Madison",'HIDE - LABOR RATES'!$E$5,IF($B$2="Green Bay",'HIDE - LABOR RATES'!$F$5)))</f>
        <v>101.35</v>
      </c>
      <c r="K31" s="443">
        <f>IF($B$2="Milwaukee",'HIDE - LABOR RATES'!$D$6,IF($B$2="Madison",'HIDE - LABOR RATES'!$E$6,IF($B$2="Green Bay",'HIDE - LABOR RATES'!$F$6)))</f>
        <v>104.3</v>
      </c>
      <c r="L31" s="443">
        <f>IF($B$2="Milwaukee",'HIDE - LABOR RATES'!$D$7,IF($B$2="Madison",'HIDE - LABOR RATES'!$E$7,IF($B$2="Green Bay",'HIDE - LABOR RATES'!$F$7)))</f>
        <v>110.19</v>
      </c>
      <c r="M31" s="476">
        <f>IF($B$2="Milwaukee",'HIDE - LABOR RATES'!$D$8,IF($B$2="Madison",'HIDE - LABOR RATES'!$E$8,IF($B$2="Green Bay",'HIDE - LABOR RATES'!$F$8)))</f>
        <v>124.92</v>
      </c>
      <c r="N31" s="476">
        <f>IF($B$2="Milwaukee",'HIDE - LABOR RATES'!$D$9,IF($B$2="Madison",'HIDE - LABOR RATES'!$E$9,IF($B$2="Green Bay",'HIDE - LABOR RATES'!$F$9)))</f>
        <v>130.81</v>
      </c>
      <c r="O31" s="420"/>
      <c r="R31" s="316">
        <f>2.29+0.54+0.02+0.44+3.09+2.59</f>
        <v>8.9699999999999989</v>
      </c>
    </row>
    <row r="32" spans="1:18" ht="15.75" customHeight="1">
      <c r="A32" s="421" t="s">
        <v>1477</v>
      </c>
      <c r="C32" s="323">
        <f>N32</f>
        <v>0</v>
      </c>
      <c r="D32" s="318">
        <f>N31</f>
        <v>130.81</v>
      </c>
      <c r="E32" s="318">
        <f>C32*D32</f>
        <v>0</v>
      </c>
      <c r="G32" s="422" t="s">
        <v>1763</v>
      </c>
      <c r="H32" s="462"/>
      <c r="I32" s="462"/>
      <c r="J32" s="462"/>
      <c r="K32" s="462"/>
      <c r="L32" s="462"/>
      <c r="M32" s="462"/>
      <c r="N32" s="462"/>
      <c r="O32" s="423">
        <f>SUM(H32:N32)</f>
        <v>0</v>
      </c>
    </row>
    <row r="33" spans="1:18" ht="15.75" customHeight="1">
      <c r="A33" s="421" t="s">
        <v>1478</v>
      </c>
      <c r="C33" s="323">
        <f>M32</f>
        <v>0</v>
      </c>
      <c r="D33" s="318">
        <f>M31</f>
        <v>124.92</v>
      </c>
      <c r="E33" s="318">
        <f>C33*D33</f>
        <v>0</v>
      </c>
      <c r="G33" s="424"/>
      <c r="H33" s="442">
        <f>+H31*H32</f>
        <v>0</v>
      </c>
      <c r="I33" s="442">
        <f t="shared" ref="I33:N33" si="2">+I31*I32</f>
        <v>0</v>
      </c>
      <c r="J33" s="442">
        <f t="shared" si="2"/>
        <v>0</v>
      </c>
      <c r="K33" s="442">
        <f t="shared" si="2"/>
        <v>0</v>
      </c>
      <c r="L33" s="442">
        <f t="shared" si="2"/>
        <v>0</v>
      </c>
      <c r="M33" s="442">
        <f t="shared" si="2"/>
        <v>0</v>
      </c>
      <c r="N33" s="442">
        <f t="shared" si="2"/>
        <v>0</v>
      </c>
      <c r="O33" s="441">
        <f>SUM(H33:N33)</f>
        <v>0</v>
      </c>
    </row>
    <row r="34" spans="1:18" ht="15.75" customHeight="1">
      <c r="A34" s="421" t="s">
        <v>1620</v>
      </c>
      <c r="C34" s="323">
        <f>SUM(H32:L32)</f>
        <v>0</v>
      </c>
      <c r="D34" s="318" t="str">
        <f>IFERROR(H34,J31)</f>
        <v/>
      </c>
      <c r="E34" s="318" t="str">
        <f>IFERROR(C34*D34,"")</f>
        <v/>
      </c>
      <c r="G34" s="419" t="s">
        <v>1479</v>
      </c>
      <c r="H34" s="425" t="str">
        <f>IFERROR(O33/O32,"")</f>
        <v/>
      </c>
      <c r="I34" s="426"/>
      <c r="J34" s="426"/>
      <c r="K34" s="426"/>
      <c r="L34" s="426"/>
      <c r="M34" s="426"/>
      <c r="N34" s="426"/>
      <c r="O34" s="420"/>
    </row>
    <row r="35" spans="1:18" ht="15.75" customHeight="1">
      <c r="A35" s="421"/>
      <c r="C35" s="376"/>
      <c r="O35" s="427"/>
    </row>
    <row r="36" spans="1:18" ht="15.75" customHeight="1" thickBot="1">
      <c r="A36" s="428" t="s">
        <v>1480</v>
      </c>
      <c r="B36" s="351"/>
      <c r="C36" s="463">
        <f>B30-SUM(C32:C34)</f>
        <v>0</v>
      </c>
      <c r="D36" s="355">
        <f>D32</f>
        <v>130.81</v>
      </c>
      <c r="E36" s="355">
        <f>C36*D36</f>
        <v>0</v>
      </c>
      <c r="F36" s="351"/>
      <c r="G36" s="429"/>
      <c r="H36" s="351"/>
      <c r="I36" s="351"/>
      <c r="J36" s="351"/>
      <c r="K36" s="351"/>
      <c r="L36" s="351"/>
      <c r="M36" s="351"/>
      <c r="N36" s="351"/>
      <c r="O36" s="430"/>
    </row>
    <row r="37" spans="1:18" ht="15.75" customHeight="1">
      <c r="C37" s="322"/>
      <c r="R37" s="316">
        <f>2.63+0.61+0.02+0.44+3.54+2.97</f>
        <v>10.210000000000001</v>
      </c>
    </row>
    <row r="38" spans="1:18">
      <c r="B38" s="322"/>
    </row>
    <row r="39" spans="1:18">
      <c r="A39" s="324" t="s">
        <v>1482</v>
      </c>
      <c r="B39" s="325">
        <f>SUM(B8:B36)</f>
        <v>0</v>
      </c>
      <c r="C39" s="326"/>
      <c r="D39" s="327" t="e">
        <f>E39/E59</f>
        <v>#DIV/0!</v>
      </c>
      <c r="E39" s="328">
        <f>SUM(E8:E38)</f>
        <v>0</v>
      </c>
      <c r="G39" s="316"/>
    </row>
    <row r="40" spans="1:18">
      <c r="B40" s="322"/>
      <c r="D40" s="329"/>
      <c r="F40" s="334"/>
      <c r="G40" s="335"/>
      <c r="N40" s="336"/>
    </row>
    <row r="41" spans="1:18" ht="15.75">
      <c r="A41" s="330" t="s">
        <v>1483</v>
      </c>
      <c r="B41" s="331" t="s">
        <v>1484</v>
      </c>
      <c r="C41" s="688" t="s">
        <v>1485</v>
      </c>
      <c r="D41" s="332"/>
      <c r="E41" s="331"/>
      <c r="F41" s="334"/>
      <c r="G41" s="335"/>
      <c r="N41" s="336"/>
    </row>
    <row r="42" spans="1:18" ht="15.75" customHeight="1">
      <c r="A42" s="316" t="s">
        <v>1483</v>
      </c>
      <c r="B42" s="318">
        <f>ESTIMATE!AN216</f>
        <v>0</v>
      </c>
      <c r="C42" s="689">
        <f>VLOOKUP(C44,'HIDE - Dropdowns'!I8:J81,2,FALSE)</f>
        <v>0</v>
      </c>
      <c r="D42" s="333"/>
      <c r="E42" s="318">
        <f>B42*(1+C42)</f>
        <v>0</v>
      </c>
      <c r="G42" s="316"/>
      <c r="N42" s="334"/>
    </row>
    <row r="43" spans="1:18" ht="15.75" customHeight="1">
      <c r="A43" s="316" t="s">
        <v>1486</v>
      </c>
      <c r="F43" s="334"/>
      <c r="G43" s="321"/>
    </row>
    <row r="44" spans="1:18" ht="24" hidden="1" customHeight="1" thickBot="1">
      <c r="B44" s="337" t="s">
        <v>1487</v>
      </c>
      <c r="C44" s="668" t="s">
        <v>1512</v>
      </c>
      <c r="D44" s="669"/>
      <c r="E44" s="338"/>
      <c r="F44" s="339"/>
      <c r="G44" s="340" t="s">
        <v>1489</v>
      </c>
      <c r="H44" s="341"/>
      <c r="I44" s="341"/>
      <c r="J44" s="341"/>
      <c r="K44" s="341"/>
      <c r="L44" s="341"/>
      <c r="M44" s="341"/>
    </row>
    <row r="45" spans="1:18">
      <c r="B45" s="318"/>
      <c r="C45" s="342"/>
      <c r="D45" s="329"/>
    </row>
    <row r="46" spans="1:18" ht="15.75" customHeight="1">
      <c r="B46" s="318"/>
      <c r="C46" s="343"/>
      <c r="D46" s="344"/>
    </row>
    <row r="47" spans="1:18" ht="15.75" customHeight="1">
      <c r="A47" s="324" t="s">
        <v>1491</v>
      </c>
      <c r="B47" s="325"/>
      <c r="C47" s="326"/>
      <c r="D47" s="327" t="e">
        <f>E47/E59</f>
        <v>#DIV/0!</v>
      </c>
      <c r="E47" s="328">
        <f>SUM(E42:E46)</f>
        <v>0</v>
      </c>
      <c r="G47" s="316"/>
    </row>
    <row r="48" spans="1:18" ht="15.75" customHeight="1">
      <c r="B48" s="322"/>
      <c r="C48" s="343"/>
      <c r="D48" s="344"/>
      <c r="F48" s="334"/>
      <c r="G48" s="335"/>
    </row>
    <row r="49" spans="1:19" ht="15.75" customHeight="1">
      <c r="A49" s="330" t="s">
        <v>1492</v>
      </c>
      <c r="B49" s="318"/>
      <c r="C49" s="342"/>
      <c r="D49" s="332"/>
      <c r="E49" s="331"/>
      <c r="F49" s="334"/>
      <c r="G49" s="321"/>
      <c r="Q49" s="452" t="s">
        <v>788</v>
      </c>
      <c r="R49" s="453"/>
      <c r="S49" s="454" t="s">
        <v>789</v>
      </c>
    </row>
    <row r="50" spans="1:19" ht="15.75" customHeight="1">
      <c r="A50" s="316" t="s">
        <v>1492</v>
      </c>
      <c r="B50" s="318"/>
      <c r="C50" s="342"/>
      <c r="D50" s="329"/>
      <c r="E50" s="477"/>
      <c r="Q50" s="448">
        <v>0.01</v>
      </c>
      <c r="R50" s="449"/>
      <c r="S50" s="450">
        <v>1.0101</v>
      </c>
    </row>
    <row r="51" spans="1:19" ht="15.75" customHeight="1">
      <c r="B51" s="318"/>
      <c r="C51" s="342"/>
      <c r="D51" s="329"/>
      <c r="G51" s="320"/>
      <c r="Q51" s="448">
        <v>0.02</v>
      </c>
      <c r="R51" s="449"/>
      <c r="S51" s="450">
        <v>1.02041</v>
      </c>
    </row>
    <row r="52" spans="1:19" ht="15.75" customHeight="1">
      <c r="B52" s="318"/>
      <c r="C52" s="343"/>
      <c r="D52" s="344"/>
      <c r="G52" s="345"/>
      <c r="Q52" s="448">
        <v>0.03</v>
      </c>
      <c r="R52" s="449"/>
      <c r="S52" s="450">
        <v>1.0309299999999999</v>
      </c>
    </row>
    <row r="53" spans="1:19" ht="15.75" customHeight="1">
      <c r="A53" s="324" t="s">
        <v>1493</v>
      </c>
      <c r="B53" s="325"/>
      <c r="C53" s="326"/>
      <c r="D53" s="327" t="e">
        <f>E53/E59</f>
        <v>#DIV/0!</v>
      </c>
      <c r="E53" s="328">
        <f>SUM(E50)</f>
        <v>0</v>
      </c>
      <c r="G53" s="345"/>
      <c r="Q53" s="448">
        <v>0.04</v>
      </c>
      <c r="R53" s="449"/>
      <c r="S53" s="450">
        <v>1.0416700000000001</v>
      </c>
    </row>
    <row r="54" spans="1:19" ht="15.75" customHeight="1">
      <c r="B54" s="322"/>
      <c r="C54" s="343"/>
      <c r="D54" s="344"/>
      <c r="G54" s="321"/>
      <c r="Q54" s="448">
        <v>0.05</v>
      </c>
      <c r="R54" s="449"/>
      <c r="S54" s="450">
        <v>1.05263</v>
      </c>
    </row>
    <row r="55" spans="1:19" ht="15.75" customHeight="1">
      <c r="A55" s="316" t="s">
        <v>1494</v>
      </c>
      <c r="B55" s="346"/>
      <c r="D55" s="344"/>
      <c r="E55" s="318">
        <f>E39+E47+E53</f>
        <v>0</v>
      </c>
      <c r="G55" s="350"/>
      <c r="Q55" s="448">
        <v>0.06</v>
      </c>
      <c r="R55" s="449"/>
      <c r="S55" s="450">
        <v>1.0638300000000001</v>
      </c>
    </row>
    <row r="56" spans="1:19" ht="15.75" customHeight="1">
      <c r="B56" s="322"/>
      <c r="D56" s="344"/>
      <c r="G56" s="350"/>
      <c r="Q56" s="448">
        <v>7.0000000000000007E-2</v>
      </c>
      <c r="R56" s="449"/>
      <c r="S56" s="450">
        <v>1.0752699999999999</v>
      </c>
    </row>
    <row r="57" spans="1:19" ht="15.75" customHeight="1">
      <c r="A57" s="316" t="s">
        <v>1495</v>
      </c>
      <c r="B57" s="347"/>
      <c r="D57" s="348"/>
      <c r="E57" s="349">
        <v>0.28000000000000003</v>
      </c>
      <c r="G57" s="350"/>
      <c r="Q57" s="448">
        <v>0.08</v>
      </c>
      <c r="R57" s="449"/>
      <c r="S57" s="450">
        <v>1.0869599999999999</v>
      </c>
    </row>
    <row r="58" spans="1:19" ht="15.75" customHeight="1" thickBot="1">
      <c r="A58" s="351"/>
      <c r="B58" s="352"/>
      <c r="C58" s="353"/>
      <c r="D58" s="354"/>
      <c r="E58" s="355"/>
      <c r="G58" s="316"/>
      <c r="Q58" s="448">
        <v>0.09</v>
      </c>
      <c r="R58" s="449"/>
      <c r="S58" s="450">
        <v>1.0989</v>
      </c>
    </row>
    <row r="59" spans="1:19" ht="15.75" customHeight="1" thickBot="1">
      <c r="A59" s="356" t="s">
        <v>1496</v>
      </c>
      <c r="B59" s="357" t="e">
        <f>+(E59-E55)/E59</f>
        <v>#DIV/0!</v>
      </c>
      <c r="C59" s="358" t="s">
        <v>1497</v>
      </c>
      <c r="D59" s="359"/>
      <c r="E59" s="360">
        <f>SUM(IF(E57&gt;0.26,VLOOKUP($E57,$Q$50:$S$104,3,FALSE)*E55,S82*E55),E53)</f>
        <v>0</v>
      </c>
      <c r="G59" s="316"/>
      <c r="Q59" s="448">
        <v>0.1</v>
      </c>
      <c r="R59" s="449" t="s">
        <v>1490</v>
      </c>
      <c r="S59" s="450">
        <v>1.1111111111111112</v>
      </c>
    </row>
    <row r="60" spans="1:19" ht="15.75">
      <c r="G60" s="316"/>
      <c r="Q60" s="448">
        <v>0.11</v>
      </c>
      <c r="R60" s="449" t="s">
        <v>1490</v>
      </c>
      <c r="S60" s="450">
        <v>1.1235955056179776</v>
      </c>
    </row>
    <row r="61" spans="1:19" ht="15.75" hidden="1" customHeight="1">
      <c r="A61" s="670" t="s">
        <v>1498</v>
      </c>
      <c r="B61" s="670"/>
      <c r="C61" s="670"/>
      <c r="D61" s="670"/>
      <c r="E61" s="670"/>
      <c r="G61" s="665" t="s">
        <v>1619</v>
      </c>
      <c r="Q61" s="448">
        <v>0.12</v>
      </c>
      <c r="R61" s="449" t="s">
        <v>1490</v>
      </c>
      <c r="S61" s="450">
        <v>1.1363636363636362</v>
      </c>
    </row>
    <row r="62" spans="1:19" ht="15.75" hidden="1" customHeight="1">
      <c r="A62" s="361"/>
      <c r="B62" s="362"/>
      <c r="C62" s="362"/>
      <c r="D62" s="362"/>
      <c r="E62" s="361"/>
      <c r="G62" s="665"/>
      <c r="Q62" s="448">
        <v>0.13</v>
      </c>
      <c r="R62" s="449" t="s">
        <v>1490</v>
      </c>
      <c r="S62" s="450">
        <v>1.1494252873563218</v>
      </c>
    </row>
    <row r="63" spans="1:19" ht="15.75" hidden="1" customHeight="1">
      <c r="A63" s="363"/>
      <c r="B63" s="364"/>
      <c r="C63" s="363"/>
      <c r="D63" s="365"/>
      <c r="E63" s="366"/>
      <c r="G63" s="665"/>
      <c r="Q63" s="448">
        <v>0.14000000000000001</v>
      </c>
      <c r="R63" s="449" t="s">
        <v>1490</v>
      </c>
      <c r="S63" s="450">
        <v>1.1627906976744187</v>
      </c>
    </row>
    <row r="64" spans="1:19" ht="15.75" hidden="1" customHeight="1" thickBot="1">
      <c r="A64" s="363" t="s">
        <v>1495</v>
      </c>
      <c r="B64" s="364"/>
      <c r="C64" s="363"/>
      <c r="D64" s="365"/>
      <c r="E64" s="367">
        <f>E57</f>
        <v>0.28000000000000003</v>
      </c>
      <c r="G64" s="665"/>
      <c r="Q64" s="448">
        <v>0.15</v>
      </c>
      <c r="R64" s="449" t="s">
        <v>1490</v>
      </c>
      <c r="S64" s="450">
        <v>1.1764705882352942</v>
      </c>
    </row>
    <row r="65" spans="1:19" ht="15.75" hidden="1" customHeight="1" thickBot="1">
      <c r="A65" s="368" t="s">
        <v>1499</v>
      </c>
      <c r="B65" s="369" t="e">
        <f>+(E65-E55)/E65</f>
        <v>#DIV/0!</v>
      </c>
      <c r="C65" s="370" t="s">
        <v>1497</v>
      </c>
      <c r="D65" s="371"/>
      <c r="E65" s="372">
        <f>SUM(VLOOKUP($E64,$Q$59:$S$104,3,FALSE)*E55,E53)</f>
        <v>0</v>
      </c>
      <c r="G65" s="665"/>
      <c r="Q65" s="448">
        <v>0.16</v>
      </c>
      <c r="R65" s="449" t="s">
        <v>1490</v>
      </c>
      <c r="S65" s="450">
        <v>1.1904761904761905</v>
      </c>
    </row>
    <row r="66" spans="1:19" ht="15.75" customHeight="1">
      <c r="B66" s="373"/>
      <c r="D66" s="374"/>
      <c r="Q66" s="448">
        <v>0.17</v>
      </c>
      <c r="R66" s="449" t="s">
        <v>1490</v>
      </c>
      <c r="S66" s="450">
        <v>1.2048192771084338</v>
      </c>
    </row>
    <row r="67" spans="1:19" ht="15.75" customHeight="1">
      <c r="G67" s="316"/>
      <c r="Q67" s="448">
        <v>0.18</v>
      </c>
      <c r="R67" s="449" t="s">
        <v>1490</v>
      </c>
      <c r="S67" s="450">
        <v>1.2195121951219514</v>
      </c>
    </row>
    <row r="68" spans="1:19" ht="15.75" customHeight="1" thickBot="1">
      <c r="Q68" s="451">
        <v>0.18429999999999999</v>
      </c>
      <c r="R68" s="449"/>
      <c r="S68" s="450">
        <v>1.22594</v>
      </c>
    </row>
    <row r="69" spans="1:19" ht="15.75" customHeight="1" thickBot="1">
      <c r="A69" s="368" t="s">
        <v>1500</v>
      </c>
      <c r="B69" s="377"/>
      <c r="C69" s="370"/>
      <c r="D69" s="371"/>
      <c r="E69" s="372">
        <f>SUM(E68:E68)+E59</f>
        <v>0</v>
      </c>
      <c r="Q69" s="448">
        <v>0.19</v>
      </c>
      <c r="R69" s="449" t="s">
        <v>1490</v>
      </c>
      <c r="S69" s="450">
        <v>1.2345679012345681</v>
      </c>
    </row>
    <row r="70" spans="1:19" ht="15.75" customHeight="1" thickBot="1">
      <c r="A70" s="368" t="s">
        <v>1501</v>
      </c>
      <c r="B70" s="377"/>
      <c r="C70" s="370"/>
      <c r="D70" s="371"/>
      <c r="E70" s="372">
        <f>SUM(E68:E68)+E65</f>
        <v>0</v>
      </c>
      <c r="Q70" s="448">
        <v>0.2</v>
      </c>
      <c r="R70" s="449" t="s">
        <v>1490</v>
      </c>
      <c r="S70" s="450">
        <v>1.25</v>
      </c>
    </row>
    <row r="71" spans="1:19" ht="15.75" customHeight="1">
      <c r="Q71" s="448">
        <v>0.21</v>
      </c>
      <c r="R71" s="449" t="s">
        <v>1490</v>
      </c>
      <c r="S71" s="450">
        <v>1.2658227848101267</v>
      </c>
    </row>
    <row r="72" spans="1:19" ht="15.75" customHeight="1">
      <c r="B72" s="379"/>
      <c r="C72" s="373"/>
      <c r="D72" s="333"/>
      <c r="Q72" s="448">
        <v>0.22</v>
      </c>
      <c r="R72" s="449" t="s">
        <v>1490</v>
      </c>
      <c r="S72" s="450">
        <v>1.2820512820512822</v>
      </c>
    </row>
    <row r="73" spans="1:19" ht="15.75" customHeight="1">
      <c r="Q73" s="448">
        <v>0.23</v>
      </c>
      <c r="R73" s="449"/>
      <c r="S73" s="450">
        <v>1.2987</v>
      </c>
    </row>
    <row r="74" spans="1:19" ht="15.75" customHeight="1">
      <c r="Q74" s="448">
        <v>0.24</v>
      </c>
      <c r="R74" s="449"/>
      <c r="S74" s="450">
        <v>1.31579</v>
      </c>
    </row>
    <row r="75" spans="1:19" ht="15.75" customHeight="1">
      <c r="Q75" s="448">
        <v>0.25</v>
      </c>
      <c r="R75" s="449" t="s">
        <v>1490</v>
      </c>
      <c r="S75" s="450">
        <v>1.3333333333333335</v>
      </c>
    </row>
    <row r="76" spans="1:19" ht="15.75" customHeight="1">
      <c r="Q76" s="448">
        <v>0.26</v>
      </c>
      <c r="R76" s="449" t="s">
        <v>1490</v>
      </c>
      <c r="S76" s="450">
        <v>1.3513513513513515</v>
      </c>
    </row>
    <row r="77" spans="1:19" ht="15.75" customHeight="1">
      <c r="Q77" s="448">
        <v>0.27</v>
      </c>
      <c r="R77" s="449" t="s">
        <v>1490</v>
      </c>
      <c r="S77" s="450">
        <v>1.3698630136986303</v>
      </c>
    </row>
    <row r="78" spans="1:19" ht="15.75" customHeight="1">
      <c r="Q78" s="448">
        <v>0.28000000000000003</v>
      </c>
      <c r="R78" s="449" t="s">
        <v>1490</v>
      </c>
      <c r="S78" s="450">
        <v>1.3888888888888893</v>
      </c>
    </row>
    <row r="79" spans="1:19" ht="15.75" customHeight="1">
      <c r="Q79" s="448">
        <v>0.28999999999999998</v>
      </c>
      <c r="R79" s="449" t="s">
        <v>1490</v>
      </c>
      <c r="S79" s="450">
        <v>1.4084507042253525</v>
      </c>
    </row>
    <row r="80" spans="1:19" ht="15.75" customHeight="1">
      <c r="Q80" s="448">
        <v>0.24</v>
      </c>
      <c r="R80" s="449"/>
      <c r="S80" s="450">
        <v>1.3157894736842106</v>
      </c>
    </row>
    <row r="81" spans="11:19" ht="15.75" customHeight="1">
      <c r="Q81" s="448">
        <v>0.25</v>
      </c>
      <c r="R81" s="449"/>
      <c r="S81" s="450">
        <v>1.3333333333333335</v>
      </c>
    </row>
    <row r="82" spans="11:19" ht="15.75" hidden="1" customHeight="1">
      <c r="Q82" s="448">
        <v>0.26</v>
      </c>
      <c r="R82" s="449"/>
      <c r="S82" s="450">
        <v>1.3513513513513515</v>
      </c>
    </row>
    <row r="83" spans="11:19" ht="15.75" hidden="1" customHeight="1">
      <c r="Q83" s="448">
        <v>0.3</v>
      </c>
      <c r="R83" s="449" t="s">
        <v>1490</v>
      </c>
      <c r="S83" s="450">
        <v>1.4285714285714288</v>
      </c>
    </row>
    <row r="84" spans="11:19" ht="15.75" hidden="1" customHeight="1">
      <c r="Q84" s="448">
        <v>0.31</v>
      </c>
      <c r="R84" s="449" t="s">
        <v>1490</v>
      </c>
      <c r="S84" s="450">
        <v>1.4492753623188408</v>
      </c>
    </row>
    <row r="85" spans="11:19" ht="15.75" hidden="1" customHeight="1">
      <c r="Q85" s="448">
        <v>0.32</v>
      </c>
      <c r="R85" s="449" t="s">
        <v>1490</v>
      </c>
      <c r="S85" s="450">
        <v>1.470588235294118</v>
      </c>
    </row>
    <row r="86" spans="11:19" ht="15.75" hidden="1" customHeight="1">
      <c r="K86" s="375"/>
      <c r="Q86" s="448">
        <v>0.33</v>
      </c>
      <c r="R86" s="449" t="s">
        <v>1490</v>
      </c>
      <c r="S86" s="450">
        <v>1.4925373134328361</v>
      </c>
    </row>
    <row r="87" spans="11:19" ht="15.75" hidden="1" customHeight="1">
      <c r="Q87" s="448">
        <v>0.34</v>
      </c>
      <c r="R87" s="449" t="s">
        <v>1490</v>
      </c>
      <c r="S87" s="450">
        <v>1.5151515151515156</v>
      </c>
    </row>
    <row r="88" spans="11:19" ht="15.75" hidden="1" customHeight="1">
      <c r="Q88" s="448">
        <v>0.35</v>
      </c>
      <c r="R88" s="449" t="s">
        <v>1490</v>
      </c>
      <c r="S88" s="450">
        <v>1.5384615384615388</v>
      </c>
    </row>
    <row r="89" spans="11:19" ht="15.75" hidden="1" customHeight="1">
      <c r="Q89" s="448">
        <v>0.36</v>
      </c>
      <c r="R89" s="449" t="s">
        <v>1490</v>
      </c>
      <c r="S89" s="450">
        <v>1.5625000000000004</v>
      </c>
    </row>
    <row r="90" spans="11:19" ht="15.75" hidden="1" customHeight="1">
      <c r="Q90" s="448">
        <v>0.37000000000000022</v>
      </c>
      <c r="R90" s="449" t="s">
        <v>1490</v>
      </c>
      <c r="S90" s="450">
        <v>1.5873015873015879</v>
      </c>
    </row>
    <row r="91" spans="11:19" ht="15.75" hidden="1" customHeight="1">
      <c r="Q91" s="448">
        <v>0.38</v>
      </c>
      <c r="R91" s="449" t="s">
        <v>1490</v>
      </c>
      <c r="S91" s="450">
        <v>1.6129032258064522</v>
      </c>
    </row>
    <row r="92" spans="11:19" ht="15.75" hidden="1" customHeight="1">
      <c r="Q92" s="448">
        <v>0.39</v>
      </c>
      <c r="R92" s="449" t="s">
        <v>1490</v>
      </c>
      <c r="S92" s="450">
        <v>1.6393442622950825</v>
      </c>
    </row>
    <row r="93" spans="11:19" ht="15.75" hidden="1" customHeight="1">
      <c r="Q93" s="448">
        <v>0.4</v>
      </c>
      <c r="R93" s="449" t="s">
        <v>1490</v>
      </c>
      <c r="S93" s="450">
        <v>1.6666666666666674</v>
      </c>
    </row>
    <row r="94" spans="11:19" ht="15.75" hidden="1" customHeight="1">
      <c r="Q94" s="448">
        <v>0.41000000000000025</v>
      </c>
      <c r="R94" s="449" t="s">
        <v>1490</v>
      </c>
      <c r="S94" s="450">
        <v>1.6949152542372889</v>
      </c>
    </row>
    <row r="95" spans="11:19" ht="15.75" hidden="1" customHeight="1">
      <c r="Q95" s="448">
        <v>0.42000000000000026</v>
      </c>
      <c r="R95" s="449" t="s">
        <v>1490</v>
      </c>
      <c r="S95" s="450">
        <v>1.7241379310344835</v>
      </c>
    </row>
    <row r="96" spans="11:19" ht="15.75" hidden="1" customHeight="1">
      <c r="Q96" s="448">
        <v>0.43</v>
      </c>
      <c r="R96" s="449" t="s">
        <v>1490</v>
      </c>
      <c r="S96" s="450">
        <v>1.7543859649122815</v>
      </c>
    </row>
    <row r="97" spans="7:19" ht="15.75" hidden="1" customHeight="1">
      <c r="Q97" s="448">
        <v>0.44</v>
      </c>
      <c r="R97" s="449" t="s">
        <v>1490</v>
      </c>
      <c r="S97" s="450">
        <v>1.7857142857142865</v>
      </c>
    </row>
    <row r="98" spans="7:19" ht="15.75" hidden="1" customHeight="1">
      <c r="Q98" s="448">
        <v>0.45</v>
      </c>
      <c r="R98" s="449" t="s">
        <v>1490</v>
      </c>
      <c r="S98" s="450">
        <v>1.8181818181818192</v>
      </c>
    </row>
    <row r="99" spans="7:19" ht="15.75" hidden="1" customHeight="1">
      <c r="Q99" s="448">
        <v>0.46</v>
      </c>
      <c r="R99" s="449" t="s">
        <v>1490</v>
      </c>
      <c r="S99" s="450">
        <v>1.851851851851853</v>
      </c>
    </row>
    <row r="100" spans="7:19" ht="15.75" hidden="1" customHeight="1">
      <c r="Q100" s="448">
        <v>0.47</v>
      </c>
      <c r="R100" s="449" t="s">
        <v>1490</v>
      </c>
      <c r="S100" s="450">
        <v>1.8867924528301898</v>
      </c>
    </row>
    <row r="101" spans="7:19" ht="15.75" hidden="1" customHeight="1">
      <c r="Q101" s="448">
        <v>0.48</v>
      </c>
      <c r="R101" s="449" t="s">
        <v>1490</v>
      </c>
      <c r="S101" s="450">
        <v>1.9230769230769242</v>
      </c>
    </row>
    <row r="102" spans="7:19" ht="15.75" hidden="1" customHeight="1">
      <c r="Q102" s="448">
        <v>0.49</v>
      </c>
      <c r="R102" s="449" t="s">
        <v>1490</v>
      </c>
      <c r="S102" s="450">
        <v>1.9607843137254914</v>
      </c>
    </row>
    <row r="103" spans="7:19" ht="15.75" hidden="1" customHeight="1">
      <c r="Q103" s="448">
        <v>0.5</v>
      </c>
      <c r="R103" s="449" t="s">
        <v>1490</v>
      </c>
      <c r="S103" s="450">
        <v>2.0000000000000013</v>
      </c>
    </row>
    <row r="104" spans="7:19" ht="15.75" hidden="1" customHeight="1">
      <c r="Q104" s="448">
        <v>0.51</v>
      </c>
      <c r="R104" s="449" t="s">
        <v>1490</v>
      </c>
      <c r="S104" s="450">
        <v>2.0408163265306136</v>
      </c>
    </row>
    <row r="105" spans="7:19" ht="15.75" hidden="1" customHeight="1"/>
    <row r="106" spans="7:19" ht="15.75" hidden="1" customHeight="1"/>
    <row r="107" spans="7:19" ht="15.75" hidden="1" customHeight="1"/>
    <row r="108" spans="7:19" ht="15.75" hidden="1" customHeight="1"/>
    <row r="109" spans="7:19" ht="15.75" hidden="1" customHeight="1">
      <c r="J109" s="336"/>
      <c r="K109" s="334"/>
    </row>
    <row r="110" spans="7:19" ht="15.75" hidden="1" customHeight="1"/>
    <row r="111" spans="7:19" ht="15.75" hidden="1" customHeight="1"/>
    <row r="112" spans="7:19" ht="15.75" hidden="1" customHeight="1">
      <c r="G112" s="378"/>
      <c r="I112" s="334"/>
    </row>
    <row r="113" spans="7:7" ht="15.75" hidden="1" customHeight="1"/>
    <row r="114" spans="7:7" ht="15.75" hidden="1" customHeight="1"/>
    <row r="115" spans="7:7" ht="15.75" hidden="1" customHeight="1"/>
    <row r="116" spans="7:7" ht="15.75" hidden="1" customHeight="1"/>
    <row r="117" spans="7:7" ht="15.75" hidden="1" customHeight="1"/>
    <row r="118" spans="7:7" ht="15.75" hidden="1" customHeight="1"/>
    <row r="119" spans="7:7" ht="15.75" hidden="1" customHeight="1"/>
    <row r="120" spans="7:7" ht="15.75" hidden="1" customHeight="1"/>
    <row r="121" spans="7:7" ht="15.75" hidden="1" customHeight="1">
      <c r="G121" s="380"/>
    </row>
    <row r="122" spans="7:7" ht="15.75" hidden="1" customHeight="1">
      <c r="G122" s="374"/>
    </row>
    <row r="123" spans="7:7" ht="15.75" hidden="1" customHeight="1"/>
    <row r="124" spans="7:7" ht="15.75" hidden="1" customHeight="1"/>
    <row r="125" spans="7:7" ht="15.75" hidden="1" customHeight="1"/>
    <row r="126" spans="7:7" ht="15.75" hidden="1" customHeight="1"/>
    <row r="127" spans="7:7" ht="15.75" hidden="1" customHeight="1"/>
    <row r="128" spans="7:7" ht="15.75" hidden="1" customHeight="1"/>
    <row r="129" ht="15.75" hidden="1" customHeight="1"/>
    <row r="130" ht="15.75" hidden="1" customHeight="1"/>
    <row r="131" ht="15.75" hidden="1" customHeight="1"/>
    <row r="132" ht="15.75" hidden="1" customHeight="1"/>
    <row r="133" ht="15.75" hidden="1" customHeight="1"/>
    <row r="134" ht="15.75" hidden="1" customHeight="1"/>
    <row r="135" ht="15.75" hidden="1" customHeight="1"/>
    <row r="136" ht="15.75" hidden="1" customHeight="1"/>
    <row r="137" ht="15.75" hidden="1" customHeight="1"/>
    <row r="138" ht="15.75" hidden="1" customHeight="1"/>
    <row r="139" ht="15.75" hidden="1" customHeight="1"/>
    <row r="140" ht="15.75" hidden="1" customHeight="1"/>
    <row r="141" ht="15.75" hidden="1" customHeight="1"/>
    <row r="142" ht="15.75" hidden="1" customHeight="1"/>
  </sheetData>
  <sheetProtection algorithmName="SHA-512" hashValue="2TMKTjf7TUZIsX7JWT7OkHtAlI8RNFPGQW2d+qvw+c52W3QBkyDcE+t+R+53WSzvkWIyVA+Vpjp0tg34oox58Q==" saltValue="oIilH/v9c/vCnp2Aqn1tRg==" spinCount="100000" sheet="1" selectLockedCells="1"/>
  <protectedRanges>
    <protectedRange sqref="C44" name="County"/>
  </protectedRanges>
  <dataConsolidate/>
  <mergeCells count="5">
    <mergeCell ref="G61:G65"/>
    <mergeCell ref="A1:E1"/>
    <mergeCell ref="A3:E3"/>
    <mergeCell ref="C44:D44"/>
    <mergeCell ref="A61:E61"/>
  </mergeCells>
  <conditionalFormatting sqref="B2">
    <cfRule type="containsBlanks" dxfId="7" priority="7">
      <formula>LEN(TRIM(B2))=0</formula>
    </cfRule>
  </conditionalFormatting>
  <conditionalFormatting sqref="C14">
    <cfRule type="expression" dxfId="6" priority="1">
      <formula>C14&gt;0</formula>
    </cfRule>
    <cfRule type="expression" dxfId="5" priority="6">
      <formula>C14&lt;0</formula>
    </cfRule>
  </conditionalFormatting>
  <conditionalFormatting sqref="C25">
    <cfRule type="expression" dxfId="4" priority="2">
      <formula>C25&gt;0</formula>
    </cfRule>
    <cfRule type="expression" dxfId="3" priority="5">
      <formula>C25&lt;0</formula>
    </cfRule>
  </conditionalFormatting>
  <conditionalFormatting sqref="C36">
    <cfRule type="expression" dxfId="2" priority="3">
      <formula>C36&gt;0</formula>
    </cfRule>
    <cfRule type="expression" dxfId="1" priority="4">
      <formula>C36&lt;0</formula>
    </cfRule>
  </conditionalFormatting>
  <dataValidations count="2">
    <dataValidation type="decimal" operator="greaterThanOrEqual" allowBlank="1" showInputMessage="1" showErrorMessage="1" sqref="E57" xr:uid="{FB595B83-5E1F-4382-A51B-F01B1FDE0DD5}">
      <formula1>0.28</formula1>
    </dataValidation>
    <dataValidation type="list" allowBlank="1" showInputMessage="1" showErrorMessage="1" sqref="B2" xr:uid="{870493D5-785F-4D42-80DB-DD603E49520A}">
      <formula1>"Milwaukee,Madison,Green Bay"</formula1>
    </dataValidation>
  </dataValidations>
  <printOptions horizontalCentered="1"/>
  <pageMargins left="0.18" right="0.18" top="0.18" bottom="0.3" header="0.17" footer="0.17"/>
  <pageSetup scale="42" orientation="portrait" r:id="rId1"/>
  <headerFooter>
    <oddFooter>&amp;L&amp;D&amp;C&amp;F&amp;RPage &amp;P of &amp;N</oddFooter>
  </headerFooter>
  <ignoredErrors>
    <ignoredError sqref="C4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F97414A5-2E4A-4BE2-892E-57D87F8DB34E}">
          <x14:formula1>
            <xm:f>'HIDE - Dropdowns'!$I$8:$I$81</xm:f>
          </x14:formula1>
          <xm:sqref>C44:D44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BB611-00F0-4A81-92FA-9C9EB64DBB34}">
  <sheetPr codeName="Sheet19">
    <tabColor rgb="FFFFC000"/>
  </sheetPr>
  <dimension ref="A1:BA110"/>
  <sheetViews>
    <sheetView topLeftCell="A56" zoomScale="70" zoomScaleNormal="70" workbookViewId="0">
      <selection activeCell="L15" sqref="L15"/>
    </sheetView>
  </sheetViews>
  <sheetFormatPr defaultRowHeight="12.75"/>
  <cols>
    <col min="1" max="1" width="4.85546875" style="4" bestFit="1" customWidth="1"/>
    <col min="2" max="2" width="46.7109375" style="5" customWidth="1"/>
    <col min="3" max="3" width="17.28515625" style="5" bestFit="1" customWidth="1"/>
    <col min="4" max="4" width="23" customWidth="1"/>
    <col min="5" max="5" width="19.28515625" style="16" customWidth="1"/>
    <col min="6" max="6" width="12.5703125" style="16" bestFit="1" customWidth="1"/>
    <col min="7" max="7" width="11.7109375" style="16" customWidth="1"/>
    <col min="8" max="8" width="14.28515625" style="4" customWidth="1"/>
    <col min="9" max="9" width="24" style="5" customWidth="1"/>
    <col min="10" max="10" width="8.42578125" style="4" bestFit="1" customWidth="1"/>
    <col min="11" max="13" width="11.7109375" style="16" customWidth="1"/>
    <col min="14" max="14" width="13.42578125" style="16" bestFit="1" customWidth="1"/>
    <col min="15" max="20" width="7.7109375" customWidth="1"/>
    <col min="21" max="21" width="8.42578125" bestFit="1" customWidth="1"/>
    <col min="22" max="30" width="7.7109375" customWidth="1"/>
    <col min="31" max="31" width="8.42578125" bestFit="1" customWidth="1"/>
    <col min="32" max="32" width="7.7109375" customWidth="1"/>
    <col min="33" max="33" width="8.5703125" bestFit="1" customWidth="1"/>
    <col min="34" max="38" width="7.7109375" customWidth="1"/>
    <col min="39" max="39" width="10" bestFit="1" customWidth="1"/>
    <col min="40" max="40" width="11.42578125" customWidth="1"/>
    <col min="41" max="41" width="6.85546875" customWidth="1"/>
    <col min="43" max="43" width="20.42578125" customWidth="1"/>
    <col min="44" max="44" width="14.85546875" customWidth="1"/>
    <col min="45" max="45" width="14.28515625" customWidth="1"/>
    <col min="47" max="47" width="16.5703125" customWidth="1"/>
    <col min="53" max="53" width="29.42578125" bestFit="1" customWidth="1"/>
  </cols>
  <sheetData>
    <row r="1" spans="1:53" ht="15.75">
      <c r="A1" s="82"/>
      <c r="B1" s="18" t="s">
        <v>768</v>
      </c>
      <c r="C1" s="680">
        <v>2020</v>
      </c>
      <c r="D1" s="681"/>
      <c r="E1" s="681"/>
      <c r="F1" s="681"/>
      <c r="H1" s="33"/>
      <c r="I1" s="26" t="s">
        <v>1190</v>
      </c>
      <c r="K1" s="36"/>
      <c r="L1" s="34" t="s">
        <v>1176</v>
      </c>
    </row>
    <row r="2" spans="1:53" ht="15.75">
      <c r="A2" s="82"/>
      <c r="B2" s="83" t="s">
        <v>141</v>
      </c>
      <c r="C2" s="682" t="s">
        <v>1177</v>
      </c>
      <c r="D2" s="683"/>
      <c r="E2" s="683"/>
      <c r="F2" s="683"/>
      <c r="G2" s="31"/>
      <c r="H2" s="32"/>
      <c r="I2" s="15" t="s">
        <v>1171</v>
      </c>
      <c r="J2"/>
      <c r="K2"/>
      <c r="L2"/>
      <c r="M2"/>
      <c r="N2"/>
    </row>
    <row r="3" spans="1:53" ht="16.5" thickBot="1">
      <c r="A3" s="82"/>
      <c r="B3" s="83" t="s">
        <v>142</v>
      </c>
      <c r="C3" s="682" t="s">
        <v>942</v>
      </c>
      <c r="D3" s="683"/>
      <c r="E3" s="683"/>
      <c r="F3" s="683"/>
      <c r="G3" s="31"/>
      <c r="H3" s="81"/>
      <c r="I3" s="15" t="s">
        <v>1191</v>
      </c>
      <c r="J3"/>
      <c r="K3"/>
      <c r="L3"/>
      <c r="M3"/>
      <c r="N3"/>
      <c r="O3" s="8"/>
      <c r="P3" s="8"/>
      <c r="Q3" s="8"/>
      <c r="R3" s="8"/>
      <c r="S3" s="8"/>
      <c r="T3" s="8"/>
      <c r="U3" s="8"/>
      <c r="V3" s="8"/>
      <c r="W3" s="8"/>
      <c r="X3" s="8"/>
      <c r="Y3" s="8"/>
      <c r="Z3" s="8"/>
      <c r="AA3" s="8"/>
      <c r="AB3" s="8"/>
      <c r="AC3" s="8"/>
      <c r="AD3" s="8"/>
      <c r="AE3" s="8"/>
      <c r="AF3" s="8"/>
      <c r="AG3" s="8"/>
      <c r="AH3" s="8"/>
      <c r="AI3" s="8"/>
      <c r="AJ3" s="8"/>
      <c r="AK3" s="8"/>
      <c r="AL3" s="8"/>
      <c r="AM3" s="8"/>
      <c r="AN3" s="8"/>
      <c r="AO3" s="8"/>
    </row>
    <row r="4" spans="1:53" ht="16.5" thickBot="1">
      <c r="A4" s="82"/>
      <c r="B4" s="83" t="s">
        <v>140</v>
      </c>
      <c r="C4" s="682"/>
      <c r="D4" s="683"/>
      <c r="E4" s="683"/>
      <c r="F4" s="683"/>
      <c r="G4" s="84"/>
      <c r="H4" s="16"/>
      <c r="I4" s="16"/>
      <c r="J4" s="30" t="s">
        <v>786</v>
      </c>
      <c r="N4" s="30" t="s">
        <v>1192</v>
      </c>
      <c r="O4" s="678" t="s">
        <v>105</v>
      </c>
      <c r="P4" s="679"/>
      <c r="Q4" s="678" t="s">
        <v>106</v>
      </c>
      <c r="R4" s="679"/>
      <c r="S4" s="678" t="s">
        <v>107</v>
      </c>
      <c r="T4" s="679"/>
      <c r="U4" s="678" t="s">
        <v>108</v>
      </c>
      <c r="V4" s="679"/>
      <c r="W4" s="678" t="s">
        <v>109</v>
      </c>
      <c r="X4" s="679"/>
      <c r="Y4" s="678" t="s">
        <v>110</v>
      </c>
      <c r="Z4" s="679"/>
      <c r="AA4" s="675" t="s">
        <v>111</v>
      </c>
      <c r="AB4" s="676"/>
      <c r="AC4" s="675" t="s">
        <v>112</v>
      </c>
      <c r="AD4" s="676"/>
      <c r="AE4" s="675" t="s">
        <v>113</v>
      </c>
      <c r="AF4" s="676"/>
      <c r="AG4" s="675" t="s">
        <v>114</v>
      </c>
      <c r="AH4" s="676"/>
      <c r="AI4" s="675" t="s">
        <v>115</v>
      </c>
      <c r="AJ4" s="676"/>
      <c r="AK4" s="675" t="s">
        <v>116</v>
      </c>
      <c r="AL4" s="676"/>
      <c r="AM4" s="58" t="s">
        <v>1</v>
      </c>
      <c r="AN4" s="59"/>
    </row>
    <row r="5" spans="1:53" s="40" customFormat="1" ht="16.5" thickBot="1">
      <c r="A5" s="78" t="s">
        <v>148</v>
      </c>
      <c r="B5" s="78" t="s">
        <v>118</v>
      </c>
      <c r="C5" s="78" t="s">
        <v>0</v>
      </c>
      <c r="D5" s="78" t="s">
        <v>138</v>
      </c>
      <c r="E5" s="38" t="s">
        <v>117</v>
      </c>
      <c r="F5" s="79" t="s">
        <v>139</v>
      </c>
      <c r="G5" s="38" t="s">
        <v>782</v>
      </c>
      <c r="H5" s="37" t="s">
        <v>147</v>
      </c>
      <c r="I5" s="78" t="s">
        <v>146</v>
      </c>
      <c r="J5" s="37" t="s">
        <v>119</v>
      </c>
      <c r="K5" s="38" t="s">
        <v>144</v>
      </c>
      <c r="L5" s="38" t="s">
        <v>145</v>
      </c>
      <c r="M5" s="38" t="s">
        <v>785</v>
      </c>
      <c r="N5" s="80" t="s">
        <v>1053</v>
      </c>
      <c r="O5" s="42" t="s">
        <v>6</v>
      </c>
      <c r="P5" s="43" t="s">
        <v>1</v>
      </c>
      <c r="Q5" s="42" t="s">
        <v>6</v>
      </c>
      <c r="R5" s="43" t="s">
        <v>1</v>
      </c>
      <c r="S5" s="42" t="s">
        <v>6</v>
      </c>
      <c r="T5" s="43" t="s">
        <v>1</v>
      </c>
      <c r="U5" s="42" t="s">
        <v>6</v>
      </c>
      <c r="V5" s="43" t="s">
        <v>1</v>
      </c>
      <c r="W5" s="42" t="s">
        <v>6</v>
      </c>
      <c r="X5" s="43" t="s">
        <v>1</v>
      </c>
      <c r="Y5" s="42" t="s">
        <v>6</v>
      </c>
      <c r="Z5" s="43" t="s">
        <v>1</v>
      </c>
      <c r="AA5" s="56" t="s">
        <v>6</v>
      </c>
      <c r="AB5" s="57" t="s">
        <v>1</v>
      </c>
      <c r="AC5" s="56" t="s">
        <v>6</v>
      </c>
      <c r="AD5" s="57" t="s">
        <v>1</v>
      </c>
      <c r="AE5" s="56" t="s">
        <v>6</v>
      </c>
      <c r="AF5" s="57" t="s">
        <v>1</v>
      </c>
      <c r="AG5" s="56" t="s">
        <v>6</v>
      </c>
      <c r="AH5" s="57" t="s">
        <v>1</v>
      </c>
      <c r="AI5" s="56" t="s">
        <v>6</v>
      </c>
      <c r="AJ5" s="57" t="s">
        <v>1</v>
      </c>
      <c r="AK5" s="56" t="s">
        <v>6</v>
      </c>
      <c r="AL5" s="57" t="s">
        <v>1</v>
      </c>
      <c r="AM5" s="60" t="s">
        <v>6</v>
      </c>
      <c r="AN5" s="61"/>
      <c r="AO5" s="39"/>
      <c r="AP5" s="39"/>
      <c r="AV5" s="41"/>
      <c r="AY5" s="41"/>
      <c r="AZ5" s="41"/>
      <c r="BA5" s="41"/>
    </row>
    <row r="6" spans="1:53" ht="13.5" thickTop="1">
      <c r="A6" s="106">
        <v>1</v>
      </c>
      <c r="B6" s="110" t="s">
        <v>130</v>
      </c>
      <c r="C6" s="110" t="s">
        <v>784</v>
      </c>
      <c r="D6" s="111" t="s">
        <v>790</v>
      </c>
      <c r="E6" s="107" t="s">
        <v>791</v>
      </c>
      <c r="F6" s="107" t="s">
        <v>792</v>
      </c>
      <c r="G6" s="107"/>
      <c r="H6" s="106" t="s">
        <v>793</v>
      </c>
      <c r="I6" s="110" t="s">
        <v>794</v>
      </c>
      <c r="J6" s="106">
        <v>1</v>
      </c>
      <c r="K6" s="105" t="s">
        <v>1173</v>
      </c>
      <c r="L6" s="107"/>
      <c r="M6" s="105"/>
      <c r="N6" s="108"/>
      <c r="O6" s="109">
        <v>0.5</v>
      </c>
      <c r="P6" s="44">
        <f t="shared" ref="P6:P69" si="0">A6*O6</f>
        <v>0.5</v>
      </c>
      <c r="Q6" s="109"/>
      <c r="R6" s="44">
        <f t="shared" ref="R6:R69" si="1">Q6*A6</f>
        <v>0</v>
      </c>
      <c r="S6" s="109"/>
      <c r="T6" s="44">
        <f t="shared" ref="T6:T69" si="2">A6*S6</f>
        <v>0</v>
      </c>
      <c r="U6" s="109">
        <v>0.75</v>
      </c>
      <c r="V6" s="44">
        <f t="shared" ref="V6:V69" si="3">$A6*U6</f>
        <v>0.75</v>
      </c>
      <c r="W6" s="109"/>
      <c r="X6" s="44">
        <f t="shared" ref="X6:X69" si="4">$A6*W6</f>
        <v>0</v>
      </c>
      <c r="Y6" s="109"/>
      <c r="Z6" s="44">
        <f t="shared" ref="Z6:Z69" si="5">$A6*Y6</f>
        <v>0</v>
      </c>
      <c r="AA6" s="109">
        <v>0.75</v>
      </c>
      <c r="AB6" s="44">
        <f t="shared" ref="AB6:AB69" si="6">$A6*AA6</f>
        <v>0.75</v>
      </c>
      <c r="AC6" s="109"/>
      <c r="AD6" s="44">
        <f t="shared" ref="AD6:AD69" si="7">$A6*AC6</f>
        <v>0</v>
      </c>
      <c r="AE6" s="109"/>
      <c r="AF6" s="44">
        <f t="shared" ref="AF6:AF69" si="8">$A6*AE6</f>
        <v>0</v>
      </c>
      <c r="AG6" s="109">
        <v>0.75</v>
      </c>
      <c r="AH6" s="44">
        <f t="shared" ref="AH6:AH69" si="9">$A6*AG6</f>
        <v>0.75</v>
      </c>
      <c r="AI6" s="109"/>
      <c r="AJ6" s="44">
        <f t="shared" ref="AJ6:AJ69" si="10">$A6*AI6</f>
        <v>0</v>
      </c>
      <c r="AK6" s="109"/>
      <c r="AL6" s="44">
        <f t="shared" ref="AL6:AL69" si="11">$A6*AK6</f>
        <v>0</v>
      </c>
      <c r="AM6" s="62">
        <f t="shared" ref="AM6:AM69" si="12">SUM(P6+R6+T6+V6+X6+Z6+AB6+AD6+AF6+AH6+AJ6+AL6)</f>
        <v>2.75</v>
      </c>
      <c r="AN6" s="63"/>
      <c r="AO6" s="29"/>
    </row>
    <row r="7" spans="1:53">
      <c r="A7" s="106">
        <v>1</v>
      </c>
      <c r="B7" s="110" t="s">
        <v>130</v>
      </c>
      <c r="C7" s="110" t="s">
        <v>784</v>
      </c>
      <c r="D7" s="111" t="s">
        <v>795</v>
      </c>
      <c r="E7" s="107" t="s">
        <v>796</v>
      </c>
      <c r="F7" s="107" t="s">
        <v>792</v>
      </c>
      <c r="G7" s="107"/>
      <c r="H7" s="106" t="s">
        <v>797</v>
      </c>
      <c r="I7" s="110" t="s">
        <v>794</v>
      </c>
      <c r="J7" s="106">
        <v>1</v>
      </c>
      <c r="K7" s="107"/>
      <c r="L7" s="107"/>
      <c r="M7" s="105"/>
      <c r="N7" s="108"/>
      <c r="O7" s="109">
        <v>0.5</v>
      </c>
      <c r="P7" s="44">
        <f t="shared" si="0"/>
        <v>0.5</v>
      </c>
      <c r="Q7" s="109"/>
      <c r="R7" s="44">
        <f t="shared" si="1"/>
        <v>0</v>
      </c>
      <c r="S7" s="109"/>
      <c r="T7" s="44">
        <f t="shared" si="2"/>
        <v>0</v>
      </c>
      <c r="U7" s="109">
        <v>0.75</v>
      </c>
      <c r="V7" s="44">
        <f t="shared" si="3"/>
        <v>0.75</v>
      </c>
      <c r="W7" s="109"/>
      <c r="X7" s="44">
        <f t="shared" si="4"/>
        <v>0</v>
      </c>
      <c r="Y7" s="109"/>
      <c r="Z7" s="44">
        <f t="shared" si="5"/>
        <v>0</v>
      </c>
      <c r="AA7" s="109">
        <v>0.75</v>
      </c>
      <c r="AB7" s="44">
        <f t="shared" si="6"/>
        <v>0.75</v>
      </c>
      <c r="AC7" s="109"/>
      <c r="AD7" s="44">
        <f t="shared" si="7"/>
        <v>0</v>
      </c>
      <c r="AE7" s="109"/>
      <c r="AF7" s="44">
        <f t="shared" si="8"/>
        <v>0</v>
      </c>
      <c r="AG7" s="109">
        <v>0.75</v>
      </c>
      <c r="AH7" s="44">
        <f t="shared" si="9"/>
        <v>0.75</v>
      </c>
      <c r="AI7" s="109"/>
      <c r="AJ7" s="44">
        <f t="shared" si="10"/>
        <v>0</v>
      </c>
      <c r="AK7" s="109"/>
      <c r="AL7" s="44">
        <f t="shared" si="11"/>
        <v>0</v>
      </c>
      <c r="AM7" s="64">
        <f t="shared" si="12"/>
        <v>2.75</v>
      </c>
      <c r="AN7" s="65"/>
      <c r="AO7" s="29"/>
    </row>
    <row r="8" spans="1:53">
      <c r="A8" s="106">
        <v>1</v>
      </c>
      <c r="B8" s="110" t="s">
        <v>130</v>
      </c>
      <c r="C8" s="110" t="s">
        <v>784</v>
      </c>
      <c r="D8" s="111" t="s">
        <v>798</v>
      </c>
      <c r="E8" s="107" t="s">
        <v>799</v>
      </c>
      <c r="F8" s="107" t="s">
        <v>792</v>
      </c>
      <c r="G8" s="107"/>
      <c r="H8" s="106" t="s">
        <v>800</v>
      </c>
      <c r="I8" s="110" t="s">
        <v>794</v>
      </c>
      <c r="J8" s="106">
        <v>1</v>
      </c>
      <c r="K8" s="107"/>
      <c r="L8" s="107"/>
      <c r="M8" s="105"/>
      <c r="N8" s="108"/>
      <c r="O8" s="109">
        <v>0.5</v>
      </c>
      <c r="P8" s="44">
        <f t="shared" si="0"/>
        <v>0.5</v>
      </c>
      <c r="Q8" s="109"/>
      <c r="R8" s="44">
        <f t="shared" si="1"/>
        <v>0</v>
      </c>
      <c r="S8" s="109"/>
      <c r="T8" s="44">
        <f t="shared" si="2"/>
        <v>0</v>
      </c>
      <c r="U8" s="109">
        <v>0.75</v>
      </c>
      <c r="V8" s="44">
        <f t="shared" si="3"/>
        <v>0.75</v>
      </c>
      <c r="W8" s="109"/>
      <c r="X8" s="44">
        <f t="shared" si="4"/>
        <v>0</v>
      </c>
      <c r="Y8" s="109"/>
      <c r="Z8" s="44">
        <f t="shared" si="5"/>
        <v>0</v>
      </c>
      <c r="AA8" s="109">
        <v>0.75</v>
      </c>
      <c r="AB8" s="44">
        <f t="shared" si="6"/>
        <v>0.75</v>
      </c>
      <c r="AC8" s="109"/>
      <c r="AD8" s="44">
        <f t="shared" si="7"/>
        <v>0</v>
      </c>
      <c r="AE8" s="109"/>
      <c r="AF8" s="44">
        <f t="shared" si="8"/>
        <v>0</v>
      </c>
      <c r="AG8" s="109">
        <v>0.75</v>
      </c>
      <c r="AH8" s="44">
        <f t="shared" si="9"/>
        <v>0.75</v>
      </c>
      <c r="AI8" s="109"/>
      <c r="AJ8" s="44">
        <f t="shared" si="10"/>
        <v>0</v>
      </c>
      <c r="AK8" s="109"/>
      <c r="AL8" s="44">
        <f t="shared" si="11"/>
        <v>0</v>
      </c>
      <c r="AM8" s="64">
        <f t="shared" si="12"/>
        <v>2.75</v>
      </c>
      <c r="AN8" s="65"/>
      <c r="AO8" s="29"/>
    </row>
    <row r="9" spans="1:53">
      <c r="A9" s="106">
        <v>1</v>
      </c>
      <c r="B9" s="110" t="s">
        <v>130</v>
      </c>
      <c r="C9" s="110" t="s">
        <v>784</v>
      </c>
      <c r="D9" s="111" t="s">
        <v>801</v>
      </c>
      <c r="E9" s="107" t="s">
        <v>802</v>
      </c>
      <c r="F9" s="107" t="s">
        <v>792</v>
      </c>
      <c r="G9" s="107"/>
      <c r="H9" s="106" t="s">
        <v>803</v>
      </c>
      <c r="I9" s="110" t="s">
        <v>794</v>
      </c>
      <c r="J9" s="106">
        <v>1</v>
      </c>
      <c r="K9" s="107"/>
      <c r="L9" s="107"/>
      <c r="M9" s="105"/>
      <c r="N9" s="108"/>
      <c r="O9" s="109">
        <v>0.5</v>
      </c>
      <c r="P9" s="44">
        <f t="shared" si="0"/>
        <v>0.5</v>
      </c>
      <c r="Q9" s="109"/>
      <c r="R9" s="44">
        <f t="shared" si="1"/>
        <v>0</v>
      </c>
      <c r="S9" s="109"/>
      <c r="T9" s="44">
        <f t="shared" si="2"/>
        <v>0</v>
      </c>
      <c r="U9" s="109">
        <v>0.75</v>
      </c>
      <c r="V9" s="44">
        <f t="shared" si="3"/>
        <v>0.75</v>
      </c>
      <c r="W9" s="109"/>
      <c r="X9" s="44">
        <f t="shared" si="4"/>
        <v>0</v>
      </c>
      <c r="Y9" s="109"/>
      <c r="Z9" s="44">
        <f t="shared" si="5"/>
        <v>0</v>
      </c>
      <c r="AA9" s="109">
        <v>0.75</v>
      </c>
      <c r="AB9" s="44">
        <f t="shared" si="6"/>
        <v>0.75</v>
      </c>
      <c r="AC9" s="109"/>
      <c r="AD9" s="44">
        <f t="shared" si="7"/>
        <v>0</v>
      </c>
      <c r="AE9" s="109"/>
      <c r="AF9" s="44">
        <f t="shared" si="8"/>
        <v>0</v>
      </c>
      <c r="AG9" s="109">
        <v>0.75</v>
      </c>
      <c r="AH9" s="44">
        <f t="shared" si="9"/>
        <v>0.75</v>
      </c>
      <c r="AI9" s="109"/>
      <c r="AJ9" s="44">
        <f t="shared" si="10"/>
        <v>0</v>
      </c>
      <c r="AK9" s="109"/>
      <c r="AL9" s="44">
        <f t="shared" si="11"/>
        <v>0</v>
      </c>
      <c r="AM9" s="64">
        <f t="shared" si="12"/>
        <v>2.75</v>
      </c>
      <c r="AN9" s="65"/>
      <c r="AO9" s="29"/>
    </row>
    <row r="10" spans="1:53">
      <c r="A10" s="106">
        <v>1</v>
      </c>
      <c r="B10" s="110" t="s">
        <v>130</v>
      </c>
      <c r="C10" s="110" t="s">
        <v>784</v>
      </c>
      <c r="D10" s="111" t="s">
        <v>804</v>
      </c>
      <c r="E10" s="107" t="s">
        <v>805</v>
      </c>
      <c r="F10" s="107" t="s">
        <v>787</v>
      </c>
      <c r="G10" s="107"/>
      <c r="H10" s="106" t="s">
        <v>806</v>
      </c>
      <c r="I10" s="110" t="s">
        <v>794</v>
      </c>
      <c r="J10" s="106">
        <v>1</v>
      </c>
      <c r="K10" s="107"/>
      <c r="L10" s="107"/>
      <c r="M10" s="105"/>
      <c r="N10" s="108"/>
      <c r="O10" s="109">
        <v>0.5</v>
      </c>
      <c r="P10" s="44">
        <f t="shared" si="0"/>
        <v>0.5</v>
      </c>
      <c r="Q10" s="109"/>
      <c r="R10" s="44">
        <f t="shared" si="1"/>
        <v>0</v>
      </c>
      <c r="S10" s="109"/>
      <c r="T10" s="44">
        <f t="shared" si="2"/>
        <v>0</v>
      </c>
      <c r="U10" s="109">
        <v>0.75</v>
      </c>
      <c r="V10" s="44">
        <f t="shared" si="3"/>
        <v>0.75</v>
      </c>
      <c r="W10" s="109"/>
      <c r="X10" s="44">
        <f t="shared" si="4"/>
        <v>0</v>
      </c>
      <c r="Y10" s="109"/>
      <c r="Z10" s="44">
        <f t="shared" si="5"/>
        <v>0</v>
      </c>
      <c r="AA10" s="109">
        <v>0.75</v>
      </c>
      <c r="AB10" s="44">
        <f t="shared" si="6"/>
        <v>0.75</v>
      </c>
      <c r="AC10" s="109"/>
      <c r="AD10" s="44">
        <f t="shared" si="7"/>
        <v>0</v>
      </c>
      <c r="AE10" s="109"/>
      <c r="AF10" s="44">
        <f t="shared" si="8"/>
        <v>0</v>
      </c>
      <c r="AG10" s="109">
        <v>0.75</v>
      </c>
      <c r="AH10" s="44">
        <f t="shared" si="9"/>
        <v>0.75</v>
      </c>
      <c r="AI10" s="109"/>
      <c r="AJ10" s="44">
        <f t="shared" si="10"/>
        <v>0</v>
      </c>
      <c r="AK10" s="109"/>
      <c r="AL10" s="44">
        <f t="shared" si="11"/>
        <v>0</v>
      </c>
      <c r="AM10" s="64">
        <f t="shared" si="12"/>
        <v>2.75</v>
      </c>
      <c r="AN10" s="65"/>
      <c r="AO10" s="29"/>
    </row>
    <row r="11" spans="1:53">
      <c r="A11" s="106">
        <v>1</v>
      </c>
      <c r="B11" s="110" t="s">
        <v>130</v>
      </c>
      <c r="C11" s="110" t="s">
        <v>784</v>
      </c>
      <c r="D11" s="111" t="s">
        <v>807</v>
      </c>
      <c r="E11" s="107" t="s">
        <v>808</v>
      </c>
      <c r="F11" s="107" t="s">
        <v>809</v>
      </c>
      <c r="G11" s="107"/>
      <c r="H11" s="106" t="s">
        <v>810</v>
      </c>
      <c r="I11" s="110" t="s">
        <v>794</v>
      </c>
      <c r="J11" s="106">
        <v>1</v>
      </c>
      <c r="K11" s="107"/>
      <c r="L11" s="107"/>
      <c r="M11" s="105"/>
      <c r="N11" s="108"/>
      <c r="O11" s="109">
        <v>0.5</v>
      </c>
      <c r="P11" s="44">
        <f t="shared" si="0"/>
        <v>0.5</v>
      </c>
      <c r="Q11" s="109"/>
      <c r="R11" s="44">
        <f t="shared" si="1"/>
        <v>0</v>
      </c>
      <c r="S11" s="109"/>
      <c r="T11" s="44">
        <f t="shared" si="2"/>
        <v>0</v>
      </c>
      <c r="U11" s="109">
        <v>0.75</v>
      </c>
      <c r="V11" s="44">
        <f t="shared" si="3"/>
        <v>0.75</v>
      </c>
      <c r="W11" s="109"/>
      <c r="X11" s="44">
        <f t="shared" si="4"/>
        <v>0</v>
      </c>
      <c r="Y11" s="109"/>
      <c r="Z11" s="44">
        <f t="shared" si="5"/>
        <v>0</v>
      </c>
      <c r="AA11" s="109">
        <v>0.75</v>
      </c>
      <c r="AB11" s="44">
        <f t="shared" si="6"/>
        <v>0.75</v>
      </c>
      <c r="AC11" s="109"/>
      <c r="AD11" s="44">
        <f t="shared" si="7"/>
        <v>0</v>
      </c>
      <c r="AE11" s="109"/>
      <c r="AF11" s="44">
        <f t="shared" si="8"/>
        <v>0</v>
      </c>
      <c r="AG11" s="109">
        <v>0.75</v>
      </c>
      <c r="AH11" s="44">
        <f t="shared" si="9"/>
        <v>0.75</v>
      </c>
      <c r="AI11" s="109"/>
      <c r="AJ11" s="44">
        <f t="shared" si="10"/>
        <v>0</v>
      </c>
      <c r="AK11" s="109"/>
      <c r="AL11" s="44">
        <f t="shared" si="11"/>
        <v>0</v>
      </c>
      <c r="AM11" s="64">
        <f t="shared" si="12"/>
        <v>2.75</v>
      </c>
      <c r="AN11" s="65"/>
      <c r="AO11" s="29"/>
    </row>
    <row r="12" spans="1:53">
      <c r="A12" s="106">
        <v>1</v>
      </c>
      <c r="B12" s="110" t="s">
        <v>130</v>
      </c>
      <c r="C12" s="110" t="s">
        <v>784</v>
      </c>
      <c r="D12" s="111" t="s">
        <v>811</v>
      </c>
      <c r="E12" s="107" t="s">
        <v>812</v>
      </c>
      <c r="F12" s="107" t="s">
        <v>809</v>
      </c>
      <c r="G12" s="107"/>
      <c r="H12" s="106" t="s">
        <v>813</v>
      </c>
      <c r="I12" s="110" t="s">
        <v>794</v>
      </c>
      <c r="J12" s="106">
        <v>1</v>
      </c>
      <c r="K12" s="107"/>
      <c r="L12" s="107"/>
      <c r="M12" s="105"/>
      <c r="N12" s="108"/>
      <c r="O12" s="109">
        <v>0.5</v>
      </c>
      <c r="P12" s="44">
        <f t="shared" si="0"/>
        <v>0.5</v>
      </c>
      <c r="Q12" s="109"/>
      <c r="R12" s="44">
        <f t="shared" si="1"/>
        <v>0</v>
      </c>
      <c r="S12" s="109"/>
      <c r="T12" s="44">
        <f t="shared" si="2"/>
        <v>0</v>
      </c>
      <c r="U12" s="109">
        <v>0.75</v>
      </c>
      <c r="V12" s="44">
        <f t="shared" si="3"/>
        <v>0.75</v>
      </c>
      <c r="W12" s="109"/>
      <c r="X12" s="44">
        <f t="shared" si="4"/>
        <v>0</v>
      </c>
      <c r="Y12" s="109"/>
      <c r="Z12" s="44">
        <f t="shared" si="5"/>
        <v>0</v>
      </c>
      <c r="AA12" s="109">
        <v>0.75</v>
      </c>
      <c r="AB12" s="44">
        <f t="shared" si="6"/>
        <v>0.75</v>
      </c>
      <c r="AC12" s="109"/>
      <c r="AD12" s="44">
        <f t="shared" si="7"/>
        <v>0</v>
      </c>
      <c r="AE12" s="109"/>
      <c r="AF12" s="44">
        <f t="shared" si="8"/>
        <v>0</v>
      </c>
      <c r="AG12" s="109">
        <v>0.75</v>
      </c>
      <c r="AH12" s="44">
        <f t="shared" si="9"/>
        <v>0.75</v>
      </c>
      <c r="AI12" s="109"/>
      <c r="AJ12" s="44">
        <f t="shared" si="10"/>
        <v>0</v>
      </c>
      <c r="AK12" s="109"/>
      <c r="AL12" s="44">
        <f t="shared" si="11"/>
        <v>0</v>
      </c>
      <c r="AM12" s="64">
        <f t="shared" si="12"/>
        <v>2.75</v>
      </c>
      <c r="AN12" s="65"/>
      <c r="AO12" s="29"/>
    </row>
    <row r="13" spans="1:53">
      <c r="A13" s="106">
        <v>1</v>
      </c>
      <c r="B13" s="110" t="s">
        <v>130</v>
      </c>
      <c r="C13" s="110" t="s">
        <v>784</v>
      </c>
      <c r="D13" s="111" t="s">
        <v>807</v>
      </c>
      <c r="E13" s="107" t="s">
        <v>814</v>
      </c>
      <c r="F13" s="107" t="s">
        <v>815</v>
      </c>
      <c r="G13" s="107"/>
      <c r="H13" s="106" t="s">
        <v>816</v>
      </c>
      <c r="I13" s="110" t="s">
        <v>794</v>
      </c>
      <c r="J13" s="106">
        <v>1</v>
      </c>
      <c r="K13" s="107"/>
      <c r="L13" s="107"/>
      <c r="M13" s="105"/>
      <c r="N13" s="108"/>
      <c r="O13" s="109">
        <v>0.5</v>
      </c>
      <c r="P13" s="44">
        <f t="shared" si="0"/>
        <v>0.5</v>
      </c>
      <c r="Q13" s="109"/>
      <c r="R13" s="44">
        <f t="shared" si="1"/>
        <v>0</v>
      </c>
      <c r="S13" s="109"/>
      <c r="T13" s="44">
        <f t="shared" si="2"/>
        <v>0</v>
      </c>
      <c r="U13" s="109">
        <v>0.75</v>
      </c>
      <c r="V13" s="44">
        <f t="shared" si="3"/>
        <v>0.75</v>
      </c>
      <c r="W13" s="109"/>
      <c r="X13" s="44">
        <f t="shared" si="4"/>
        <v>0</v>
      </c>
      <c r="Y13" s="109"/>
      <c r="Z13" s="44">
        <f t="shared" si="5"/>
        <v>0</v>
      </c>
      <c r="AA13" s="109">
        <v>0.75</v>
      </c>
      <c r="AB13" s="44">
        <f t="shared" si="6"/>
        <v>0.75</v>
      </c>
      <c r="AC13" s="109"/>
      <c r="AD13" s="44">
        <f t="shared" si="7"/>
        <v>0</v>
      </c>
      <c r="AE13" s="109"/>
      <c r="AF13" s="44">
        <f t="shared" si="8"/>
        <v>0</v>
      </c>
      <c r="AG13" s="109">
        <v>0.75</v>
      </c>
      <c r="AH13" s="44">
        <f t="shared" si="9"/>
        <v>0.75</v>
      </c>
      <c r="AI13" s="109"/>
      <c r="AJ13" s="44">
        <f t="shared" si="10"/>
        <v>0</v>
      </c>
      <c r="AK13" s="109"/>
      <c r="AL13" s="44">
        <f t="shared" si="11"/>
        <v>0</v>
      </c>
      <c r="AM13" s="64">
        <f t="shared" si="12"/>
        <v>2.75</v>
      </c>
      <c r="AN13" s="65"/>
      <c r="AO13" s="29"/>
    </row>
    <row r="14" spans="1:53">
      <c r="A14" s="106">
        <v>1</v>
      </c>
      <c r="B14" s="110" t="s">
        <v>130</v>
      </c>
      <c r="C14" s="110" t="s">
        <v>784</v>
      </c>
      <c r="D14" s="111" t="s">
        <v>817</v>
      </c>
      <c r="E14" s="107" t="s">
        <v>818</v>
      </c>
      <c r="F14" s="107" t="s">
        <v>819</v>
      </c>
      <c r="G14" s="107"/>
      <c r="H14" s="103" t="s">
        <v>820</v>
      </c>
      <c r="I14" s="110" t="s">
        <v>794</v>
      </c>
      <c r="J14" s="106">
        <v>1</v>
      </c>
      <c r="K14" s="107"/>
      <c r="L14" s="107"/>
      <c r="M14" s="105"/>
      <c r="N14" s="108"/>
      <c r="O14" s="109">
        <v>0.75</v>
      </c>
      <c r="P14" s="44">
        <f t="shared" si="0"/>
        <v>0.75</v>
      </c>
      <c r="Q14" s="109"/>
      <c r="R14" s="44">
        <f t="shared" si="1"/>
        <v>0</v>
      </c>
      <c r="S14" s="109"/>
      <c r="T14" s="44">
        <f t="shared" si="2"/>
        <v>0</v>
      </c>
      <c r="U14" s="109">
        <v>1</v>
      </c>
      <c r="V14" s="44">
        <f t="shared" si="3"/>
        <v>1</v>
      </c>
      <c r="W14" s="109"/>
      <c r="X14" s="44">
        <f t="shared" si="4"/>
        <v>0</v>
      </c>
      <c r="Y14" s="109"/>
      <c r="Z14" s="44">
        <f t="shared" si="5"/>
        <v>0</v>
      </c>
      <c r="AA14" s="109">
        <v>1</v>
      </c>
      <c r="AB14" s="44">
        <f t="shared" si="6"/>
        <v>1</v>
      </c>
      <c r="AC14" s="109"/>
      <c r="AD14" s="44">
        <f t="shared" si="7"/>
        <v>0</v>
      </c>
      <c r="AE14" s="109"/>
      <c r="AF14" s="44">
        <f t="shared" si="8"/>
        <v>0</v>
      </c>
      <c r="AG14" s="109">
        <v>1</v>
      </c>
      <c r="AH14" s="44">
        <f t="shared" si="9"/>
        <v>1</v>
      </c>
      <c r="AI14" s="109"/>
      <c r="AJ14" s="44">
        <f t="shared" si="10"/>
        <v>0</v>
      </c>
      <c r="AK14" s="109"/>
      <c r="AL14" s="44">
        <f t="shared" si="11"/>
        <v>0</v>
      </c>
      <c r="AM14" s="64">
        <f t="shared" si="12"/>
        <v>3.75</v>
      </c>
      <c r="AN14" s="65"/>
      <c r="AO14" s="29"/>
    </row>
    <row r="15" spans="1:53">
      <c r="A15" s="106">
        <v>1</v>
      </c>
      <c r="B15" s="110" t="s">
        <v>129</v>
      </c>
      <c r="C15" s="110" t="s">
        <v>784</v>
      </c>
      <c r="D15" s="111" t="s">
        <v>821</v>
      </c>
      <c r="E15" s="107" t="s">
        <v>822</v>
      </c>
      <c r="F15" s="107" t="s">
        <v>823</v>
      </c>
      <c r="G15" s="107"/>
      <c r="H15" s="103" t="s">
        <v>824</v>
      </c>
      <c r="I15" s="110" t="s">
        <v>794</v>
      </c>
      <c r="J15" s="106">
        <v>2</v>
      </c>
      <c r="K15" s="107"/>
      <c r="L15" s="107"/>
      <c r="M15" s="105"/>
      <c r="N15" s="108"/>
      <c r="O15" s="109">
        <v>0.75</v>
      </c>
      <c r="P15" s="44">
        <f t="shared" si="0"/>
        <v>0.75</v>
      </c>
      <c r="Q15" s="109"/>
      <c r="R15" s="44">
        <f t="shared" si="1"/>
        <v>0</v>
      </c>
      <c r="S15" s="109"/>
      <c r="T15" s="44">
        <f t="shared" si="2"/>
        <v>0</v>
      </c>
      <c r="U15" s="109">
        <v>1.5</v>
      </c>
      <c r="V15" s="44">
        <f t="shared" si="3"/>
        <v>1.5</v>
      </c>
      <c r="W15" s="109"/>
      <c r="X15" s="44">
        <f t="shared" si="4"/>
        <v>0</v>
      </c>
      <c r="Y15" s="109"/>
      <c r="Z15" s="44">
        <f t="shared" si="5"/>
        <v>0</v>
      </c>
      <c r="AA15" s="109">
        <v>1.5</v>
      </c>
      <c r="AB15" s="44">
        <f t="shared" si="6"/>
        <v>1.5</v>
      </c>
      <c r="AC15" s="109"/>
      <c r="AD15" s="44">
        <f t="shared" si="7"/>
        <v>0</v>
      </c>
      <c r="AE15" s="109"/>
      <c r="AF15" s="44">
        <f t="shared" si="8"/>
        <v>0</v>
      </c>
      <c r="AG15" s="109">
        <v>1.5</v>
      </c>
      <c r="AH15" s="44">
        <f t="shared" si="9"/>
        <v>1.5</v>
      </c>
      <c r="AI15" s="109"/>
      <c r="AJ15" s="44">
        <f t="shared" si="10"/>
        <v>0</v>
      </c>
      <c r="AK15" s="109"/>
      <c r="AL15" s="44">
        <f t="shared" si="11"/>
        <v>0</v>
      </c>
      <c r="AM15" s="64">
        <f t="shared" si="12"/>
        <v>5.25</v>
      </c>
      <c r="AN15" s="65"/>
      <c r="AO15" s="29"/>
    </row>
    <row r="16" spans="1:53">
      <c r="A16" s="106">
        <v>1</v>
      </c>
      <c r="B16" s="110" t="s">
        <v>130</v>
      </c>
      <c r="C16" s="110" t="s">
        <v>825</v>
      </c>
      <c r="D16" s="111" t="s">
        <v>826</v>
      </c>
      <c r="E16" s="107" t="s">
        <v>827</v>
      </c>
      <c r="F16" s="107" t="s">
        <v>787</v>
      </c>
      <c r="G16" s="107"/>
      <c r="H16" s="103" t="s">
        <v>828</v>
      </c>
      <c r="I16" s="110" t="s">
        <v>794</v>
      </c>
      <c r="J16" s="106">
        <v>1</v>
      </c>
      <c r="K16" s="107"/>
      <c r="L16" s="107"/>
      <c r="M16" s="105"/>
      <c r="N16" s="108"/>
      <c r="O16" s="109">
        <v>0.5</v>
      </c>
      <c r="P16" s="44">
        <f t="shared" si="0"/>
        <v>0.5</v>
      </c>
      <c r="Q16" s="109"/>
      <c r="R16" s="44">
        <f t="shared" si="1"/>
        <v>0</v>
      </c>
      <c r="S16" s="109"/>
      <c r="T16" s="44">
        <f t="shared" si="2"/>
        <v>0</v>
      </c>
      <c r="U16" s="109">
        <v>0.75</v>
      </c>
      <c r="V16" s="44">
        <f t="shared" si="3"/>
        <v>0.75</v>
      </c>
      <c r="W16" s="109"/>
      <c r="X16" s="44">
        <f t="shared" si="4"/>
        <v>0</v>
      </c>
      <c r="Y16" s="109"/>
      <c r="Z16" s="44">
        <f t="shared" si="5"/>
        <v>0</v>
      </c>
      <c r="AA16" s="109">
        <v>0.75</v>
      </c>
      <c r="AB16" s="44">
        <f t="shared" si="6"/>
        <v>0.75</v>
      </c>
      <c r="AC16" s="109"/>
      <c r="AD16" s="44">
        <f t="shared" si="7"/>
        <v>0</v>
      </c>
      <c r="AE16" s="109"/>
      <c r="AF16" s="44">
        <f t="shared" si="8"/>
        <v>0</v>
      </c>
      <c r="AG16" s="109">
        <v>0.75</v>
      </c>
      <c r="AH16" s="44">
        <f t="shared" si="9"/>
        <v>0.75</v>
      </c>
      <c r="AI16" s="109"/>
      <c r="AJ16" s="44">
        <f t="shared" si="10"/>
        <v>0</v>
      </c>
      <c r="AK16" s="109"/>
      <c r="AL16" s="44">
        <f t="shared" si="11"/>
        <v>0</v>
      </c>
      <c r="AM16" s="64">
        <f t="shared" si="12"/>
        <v>2.75</v>
      </c>
      <c r="AN16" s="65"/>
      <c r="AO16" s="29"/>
    </row>
    <row r="17" spans="1:48">
      <c r="A17" s="106">
        <v>1</v>
      </c>
      <c r="B17" s="110" t="s">
        <v>132</v>
      </c>
      <c r="C17" s="110" t="s">
        <v>784</v>
      </c>
      <c r="D17" s="111"/>
      <c r="E17" s="107"/>
      <c r="F17" s="107" t="s">
        <v>829</v>
      </c>
      <c r="G17" s="107"/>
      <c r="H17" s="103"/>
      <c r="I17" s="110"/>
      <c r="J17" s="106">
        <v>0.5</v>
      </c>
      <c r="K17" s="107"/>
      <c r="L17" s="107"/>
      <c r="M17" s="105"/>
      <c r="N17" s="108"/>
      <c r="O17" s="109">
        <v>1</v>
      </c>
      <c r="P17" s="44">
        <f t="shared" si="0"/>
        <v>1</v>
      </c>
      <c r="Q17" s="109"/>
      <c r="R17" s="44">
        <f t="shared" si="1"/>
        <v>0</v>
      </c>
      <c r="S17" s="109"/>
      <c r="T17" s="44">
        <f t="shared" si="2"/>
        <v>0</v>
      </c>
      <c r="U17" s="109">
        <v>1</v>
      </c>
      <c r="V17" s="44">
        <f t="shared" si="3"/>
        <v>1</v>
      </c>
      <c r="W17" s="109"/>
      <c r="X17" s="44">
        <f t="shared" si="4"/>
        <v>0</v>
      </c>
      <c r="Y17" s="109"/>
      <c r="Z17" s="44">
        <f t="shared" si="5"/>
        <v>0</v>
      </c>
      <c r="AA17" s="109">
        <v>1</v>
      </c>
      <c r="AB17" s="44">
        <f t="shared" si="6"/>
        <v>1</v>
      </c>
      <c r="AC17" s="109"/>
      <c r="AD17" s="44">
        <f t="shared" si="7"/>
        <v>0</v>
      </c>
      <c r="AE17" s="109"/>
      <c r="AF17" s="44">
        <f t="shared" si="8"/>
        <v>0</v>
      </c>
      <c r="AG17" s="109">
        <v>1</v>
      </c>
      <c r="AH17" s="44">
        <f t="shared" si="9"/>
        <v>1</v>
      </c>
      <c r="AI17" s="109"/>
      <c r="AJ17" s="44">
        <f t="shared" si="10"/>
        <v>0</v>
      </c>
      <c r="AK17" s="109"/>
      <c r="AL17" s="44">
        <f t="shared" si="11"/>
        <v>0</v>
      </c>
      <c r="AM17" s="64">
        <f t="shared" si="12"/>
        <v>4</v>
      </c>
      <c r="AN17" s="65"/>
      <c r="AO17" s="29"/>
    </row>
    <row r="18" spans="1:48">
      <c r="A18" s="106">
        <v>1</v>
      </c>
      <c r="B18" s="110" t="s">
        <v>132</v>
      </c>
      <c r="C18" s="110" t="s">
        <v>830</v>
      </c>
      <c r="D18" s="104"/>
      <c r="E18" s="107"/>
      <c r="F18" s="107" t="s">
        <v>829</v>
      </c>
      <c r="G18" s="107"/>
      <c r="H18" s="106"/>
      <c r="I18" s="110"/>
      <c r="J18" s="106">
        <v>0.5</v>
      </c>
      <c r="K18" s="107"/>
      <c r="L18" s="107"/>
      <c r="M18" s="105"/>
      <c r="N18" s="108"/>
      <c r="O18" s="109">
        <v>1</v>
      </c>
      <c r="P18" s="44">
        <f t="shared" si="0"/>
        <v>1</v>
      </c>
      <c r="Q18" s="109"/>
      <c r="R18" s="44">
        <f t="shared" si="1"/>
        <v>0</v>
      </c>
      <c r="S18" s="109"/>
      <c r="T18" s="44">
        <f t="shared" si="2"/>
        <v>0</v>
      </c>
      <c r="U18" s="109">
        <v>1</v>
      </c>
      <c r="V18" s="44">
        <f t="shared" si="3"/>
        <v>1</v>
      </c>
      <c r="W18" s="109"/>
      <c r="X18" s="44">
        <f t="shared" si="4"/>
        <v>0</v>
      </c>
      <c r="Y18" s="109"/>
      <c r="Z18" s="44">
        <f t="shared" si="5"/>
        <v>0</v>
      </c>
      <c r="AA18" s="109">
        <v>1</v>
      </c>
      <c r="AB18" s="44">
        <f t="shared" si="6"/>
        <v>1</v>
      </c>
      <c r="AC18" s="109"/>
      <c r="AD18" s="44">
        <f t="shared" si="7"/>
        <v>0</v>
      </c>
      <c r="AE18" s="109"/>
      <c r="AF18" s="44">
        <f t="shared" si="8"/>
        <v>0</v>
      </c>
      <c r="AG18" s="109">
        <v>1</v>
      </c>
      <c r="AH18" s="44">
        <f t="shared" si="9"/>
        <v>1</v>
      </c>
      <c r="AI18" s="109"/>
      <c r="AJ18" s="44">
        <f t="shared" si="10"/>
        <v>0</v>
      </c>
      <c r="AK18" s="109"/>
      <c r="AL18" s="44">
        <f t="shared" si="11"/>
        <v>0</v>
      </c>
      <c r="AM18" s="64">
        <f t="shared" si="12"/>
        <v>4</v>
      </c>
      <c r="AN18" s="65"/>
      <c r="AO18" s="29"/>
    </row>
    <row r="19" spans="1:48">
      <c r="A19" s="106">
        <v>1</v>
      </c>
      <c r="B19" s="110" t="s">
        <v>132</v>
      </c>
      <c r="C19" s="110" t="s">
        <v>830</v>
      </c>
      <c r="D19" s="111"/>
      <c r="E19" s="107"/>
      <c r="F19" s="107" t="s">
        <v>829</v>
      </c>
      <c r="G19" s="107"/>
      <c r="H19" s="106"/>
      <c r="I19" s="110"/>
      <c r="J19" s="106">
        <v>0.5</v>
      </c>
      <c r="K19" s="107"/>
      <c r="L19" s="107"/>
      <c r="M19" s="105"/>
      <c r="N19" s="108"/>
      <c r="O19" s="109">
        <v>1</v>
      </c>
      <c r="P19" s="44">
        <f t="shared" si="0"/>
        <v>1</v>
      </c>
      <c r="Q19" s="109"/>
      <c r="R19" s="44">
        <f t="shared" si="1"/>
        <v>0</v>
      </c>
      <c r="S19" s="109"/>
      <c r="T19" s="44">
        <f t="shared" si="2"/>
        <v>0</v>
      </c>
      <c r="U19" s="109">
        <v>1</v>
      </c>
      <c r="V19" s="44">
        <f t="shared" si="3"/>
        <v>1</v>
      </c>
      <c r="W19" s="109"/>
      <c r="X19" s="44">
        <f t="shared" si="4"/>
        <v>0</v>
      </c>
      <c r="Y19" s="109"/>
      <c r="Z19" s="44">
        <f t="shared" si="5"/>
        <v>0</v>
      </c>
      <c r="AA19" s="109">
        <v>1</v>
      </c>
      <c r="AB19" s="44">
        <f t="shared" si="6"/>
        <v>1</v>
      </c>
      <c r="AC19" s="109"/>
      <c r="AD19" s="44">
        <f t="shared" si="7"/>
        <v>0</v>
      </c>
      <c r="AE19" s="109"/>
      <c r="AF19" s="44">
        <f t="shared" si="8"/>
        <v>0</v>
      </c>
      <c r="AG19" s="109">
        <v>1</v>
      </c>
      <c r="AH19" s="44">
        <f t="shared" si="9"/>
        <v>1</v>
      </c>
      <c r="AI19" s="109"/>
      <c r="AJ19" s="44">
        <f t="shared" si="10"/>
        <v>0</v>
      </c>
      <c r="AK19" s="109"/>
      <c r="AL19" s="44">
        <f t="shared" si="11"/>
        <v>0</v>
      </c>
      <c r="AM19" s="64">
        <f t="shared" si="12"/>
        <v>4</v>
      </c>
      <c r="AN19" s="65"/>
      <c r="AO19" s="29"/>
    </row>
    <row r="20" spans="1:48">
      <c r="A20" s="106">
        <v>1</v>
      </c>
      <c r="B20" s="110" t="s">
        <v>132</v>
      </c>
      <c r="C20" s="110" t="s">
        <v>830</v>
      </c>
      <c r="D20" s="111"/>
      <c r="E20" s="107"/>
      <c r="F20" s="107" t="s">
        <v>829</v>
      </c>
      <c r="G20" s="107"/>
      <c r="H20" s="106"/>
      <c r="I20" s="110"/>
      <c r="J20" s="106">
        <v>0.5</v>
      </c>
      <c r="K20" s="107"/>
      <c r="L20" s="107"/>
      <c r="M20" s="105"/>
      <c r="N20" s="108"/>
      <c r="O20" s="109">
        <v>1</v>
      </c>
      <c r="P20" s="44">
        <f t="shared" si="0"/>
        <v>1</v>
      </c>
      <c r="Q20" s="109"/>
      <c r="R20" s="44">
        <f t="shared" si="1"/>
        <v>0</v>
      </c>
      <c r="S20" s="109"/>
      <c r="T20" s="44">
        <f t="shared" si="2"/>
        <v>0</v>
      </c>
      <c r="U20" s="109">
        <v>1</v>
      </c>
      <c r="V20" s="44">
        <f t="shared" si="3"/>
        <v>1</v>
      </c>
      <c r="W20" s="109"/>
      <c r="X20" s="44">
        <f t="shared" si="4"/>
        <v>0</v>
      </c>
      <c r="Y20" s="109"/>
      <c r="Z20" s="44">
        <f t="shared" si="5"/>
        <v>0</v>
      </c>
      <c r="AA20" s="109">
        <v>1</v>
      </c>
      <c r="AB20" s="44">
        <f t="shared" si="6"/>
        <v>1</v>
      </c>
      <c r="AC20" s="109"/>
      <c r="AD20" s="44">
        <f t="shared" si="7"/>
        <v>0</v>
      </c>
      <c r="AE20" s="109"/>
      <c r="AF20" s="44">
        <f t="shared" si="8"/>
        <v>0</v>
      </c>
      <c r="AG20" s="109">
        <v>1</v>
      </c>
      <c r="AH20" s="44">
        <f t="shared" si="9"/>
        <v>1</v>
      </c>
      <c r="AI20" s="109"/>
      <c r="AJ20" s="44">
        <f t="shared" si="10"/>
        <v>0</v>
      </c>
      <c r="AK20" s="109"/>
      <c r="AL20" s="44">
        <f t="shared" si="11"/>
        <v>0</v>
      </c>
      <c r="AM20" s="64">
        <f t="shared" si="12"/>
        <v>4</v>
      </c>
      <c r="AN20" s="65"/>
      <c r="AO20" s="29"/>
      <c r="AV20" s="4"/>
    </row>
    <row r="21" spans="1:48">
      <c r="A21" s="106">
        <v>1</v>
      </c>
      <c r="B21" s="110" t="s">
        <v>126</v>
      </c>
      <c r="C21" s="110" t="s">
        <v>831</v>
      </c>
      <c r="D21" s="111" t="s">
        <v>832</v>
      </c>
      <c r="E21" s="107" t="s">
        <v>833</v>
      </c>
      <c r="F21" s="107"/>
      <c r="G21" s="107"/>
      <c r="H21" s="106" t="s">
        <v>834</v>
      </c>
      <c r="I21" s="110" t="s">
        <v>783</v>
      </c>
      <c r="J21" s="106"/>
      <c r="K21" s="107"/>
      <c r="L21" s="107"/>
      <c r="M21" s="105"/>
      <c r="N21" s="108"/>
      <c r="O21" s="109">
        <v>1</v>
      </c>
      <c r="P21" s="44">
        <f t="shared" si="0"/>
        <v>1</v>
      </c>
      <c r="Q21" s="109"/>
      <c r="R21" s="44">
        <f t="shared" si="1"/>
        <v>0</v>
      </c>
      <c r="S21" s="109"/>
      <c r="T21" s="44">
        <f t="shared" si="2"/>
        <v>0</v>
      </c>
      <c r="U21" s="109">
        <v>1</v>
      </c>
      <c r="V21" s="44">
        <f t="shared" si="3"/>
        <v>1</v>
      </c>
      <c r="W21" s="109"/>
      <c r="X21" s="44">
        <f t="shared" si="4"/>
        <v>0</v>
      </c>
      <c r="Y21" s="109"/>
      <c r="Z21" s="44">
        <f t="shared" si="5"/>
        <v>0</v>
      </c>
      <c r="AA21" s="109">
        <v>1</v>
      </c>
      <c r="AB21" s="44">
        <f t="shared" si="6"/>
        <v>1</v>
      </c>
      <c r="AC21" s="109"/>
      <c r="AD21" s="44">
        <f t="shared" si="7"/>
        <v>0</v>
      </c>
      <c r="AE21" s="109"/>
      <c r="AF21" s="44">
        <f t="shared" si="8"/>
        <v>0</v>
      </c>
      <c r="AG21" s="109">
        <v>1</v>
      </c>
      <c r="AH21" s="44">
        <f t="shared" si="9"/>
        <v>1</v>
      </c>
      <c r="AI21" s="109"/>
      <c r="AJ21" s="44">
        <f t="shared" si="10"/>
        <v>0</v>
      </c>
      <c r="AK21" s="109"/>
      <c r="AL21" s="44">
        <f t="shared" si="11"/>
        <v>0</v>
      </c>
      <c r="AM21" s="64">
        <f t="shared" si="12"/>
        <v>4</v>
      </c>
      <c r="AN21" s="65"/>
      <c r="AO21" s="29"/>
    </row>
    <row r="22" spans="1:48">
      <c r="A22" s="106">
        <v>1</v>
      </c>
      <c r="B22" s="110" t="s">
        <v>126</v>
      </c>
      <c r="C22" s="110" t="s">
        <v>831</v>
      </c>
      <c r="D22" s="111" t="s">
        <v>835</v>
      </c>
      <c r="E22" s="107" t="s">
        <v>836</v>
      </c>
      <c r="F22" s="107"/>
      <c r="G22" s="107"/>
      <c r="H22" s="106" t="s">
        <v>837</v>
      </c>
      <c r="I22" s="110" t="s">
        <v>783</v>
      </c>
      <c r="J22" s="106"/>
      <c r="K22" s="107"/>
      <c r="L22" s="107"/>
      <c r="M22" s="105"/>
      <c r="N22" s="108"/>
      <c r="O22" s="109">
        <v>1</v>
      </c>
      <c r="P22" s="44">
        <f t="shared" si="0"/>
        <v>1</v>
      </c>
      <c r="Q22" s="109"/>
      <c r="R22" s="44">
        <f t="shared" si="1"/>
        <v>0</v>
      </c>
      <c r="S22" s="109"/>
      <c r="T22" s="44">
        <f t="shared" si="2"/>
        <v>0</v>
      </c>
      <c r="U22" s="109">
        <v>1</v>
      </c>
      <c r="V22" s="44">
        <f t="shared" si="3"/>
        <v>1</v>
      </c>
      <c r="W22" s="109"/>
      <c r="X22" s="44">
        <f t="shared" si="4"/>
        <v>0</v>
      </c>
      <c r="Y22" s="109"/>
      <c r="Z22" s="44">
        <f t="shared" si="5"/>
        <v>0</v>
      </c>
      <c r="AA22" s="109">
        <v>1</v>
      </c>
      <c r="AB22" s="44">
        <f t="shared" si="6"/>
        <v>1</v>
      </c>
      <c r="AC22" s="109"/>
      <c r="AD22" s="44">
        <f t="shared" si="7"/>
        <v>0</v>
      </c>
      <c r="AE22" s="109"/>
      <c r="AF22" s="44">
        <f t="shared" si="8"/>
        <v>0</v>
      </c>
      <c r="AG22" s="109">
        <v>1</v>
      </c>
      <c r="AH22" s="44">
        <f t="shared" si="9"/>
        <v>1</v>
      </c>
      <c r="AI22" s="109"/>
      <c r="AJ22" s="44">
        <f t="shared" si="10"/>
        <v>0</v>
      </c>
      <c r="AK22" s="109"/>
      <c r="AL22" s="44">
        <f t="shared" si="11"/>
        <v>0</v>
      </c>
      <c r="AM22" s="64">
        <f t="shared" si="12"/>
        <v>4</v>
      </c>
      <c r="AN22" s="65"/>
      <c r="AO22" s="29"/>
    </row>
    <row r="23" spans="1:48">
      <c r="A23" s="106">
        <v>1</v>
      </c>
      <c r="B23" s="110" t="s">
        <v>121</v>
      </c>
      <c r="C23" s="110" t="s">
        <v>784</v>
      </c>
      <c r="D23" s="111" t="s">
        <v>838</v>
      </c>
      <c r="E23" s="107" t="s">
        <v>839</v>
      </c>
      <c r="F23" s="107" t="s">
        <v>823</v>
      </c>
      <c r="G23" s="107"/>
      <c r="H23" s="106" t="s">
        <v>840</v>
      </c>
      <c r="I23" s="110" t="s">
        <v>841</v>
      </c>
      <c r="J23" s="106"/>
      <c r="K23" s="107"/>
      <c r="L23" s="107"/>
      <c r="M23" s="105"/>
      <c r="N23" s="108"/>
      <c r="O23" s="109">
        <v>2</v>
      </c>
      <c r="P23" s="44">
        <f t="shared" si="0"/>
        <v>2</v>
      </c>
      <c r="Q23" s="109"/>
      <c r="R23" s="44">
        <f t="shared" si="1"/>
        <v>0</v>
      </c>
      <c r="S23" s="109"/>
      <c r="T23" s="44">
        <f t="shared" si="2"/>
        <v>0</v>
      </c>
      <c r="U23" s="109">
        <v>8</v>
      </c>
      <c r="V23" s="44">
        <f t="shared" si="3"/>
        <v>8</v>
      </c>
      <c r="W23" s="109"/>
      <c r="X23" s="44">
        <f t="shared" si="4"/>
        <v>0</v>
      </c>
      <c r="Y23" s="109"/>
      <c r="Z23" s="44">
        <f t="shared" si="5"/>
        <v>0</v>
      </c>
      <c r="AA23" s="109">
        <v>4</v>
      </c>
      <c r="AB23" s="44">
        <f t="shared" si="6"/>
        <v>4</v>
      </c>
      <c r="AC23" s="109"/>
      <c r="AD23" s="44">
        <f t="shared" si="7"/>
        <v>0</v>
      </c>
      <c r="AE23" s="109"/>
      <c r="AF23" s="44">
        <f t="shared" si="8"/>
        <v>0</v>
      </c>
      <c r="AG23" s="109">
        <v>2</v>
      </c>
      <c r="AH23" s="44">
        <f t="shared" si="9"/>
        <v>2</v>
      </c>
      <c r="AI23" s="109"/>
      <c r="AJ23" s="44">
        <f t="shared" si="10"/>
        <v>0</v>
      </c>
      <c r="AK23" s="109"/>
      <c r="AL23" s="44">
        <f t="shared" si="11"/>
        <v>0</v>
      </c>
      <c r="AM23" s="64">
        <f t="shared" si="12"/>
        <v>16</v>
      </c>
      <c r="AN23" s="65"/>
      <c r="AO23" s="29"/>
    </row>
    <row r="24" spans="1:48">
      <c r="A24" s="106">
        <v>1</v>
      </c>
      <c r="B24" s="110" t="s">
        <v>122</v>
      </c>
      <c r="C24" s="110" t="s">
        <v>784</v>
      </c>
      <c r="D24" s="111" t="s">
        <v>842</v>
      </c>
      <c r="E24" s="107" t="s">
        <v>843</v>
      </c>
      <c r="F24" s="107"/>
      <c r="G24" s="107"/>
      <c r="H24" s="106" t="s">
        <v>844</v>
      </c>
      <c r="I24" s="110" t="s">
        <v>783</v>
      </c>
      <c r="J24" s="106"/>
      <c r="K24" s="107"/>
      <c r="L24" s="107"/>
      <c r="M24" s="105"/>
      <c r="N24" s="108"/>
      <c r="O24" s="109"/>
      <c r="P24" s="44">
        <f t="shared" si="0"/>
        <v>0</v>
      </c>
      <c r="Q24" s="109"/>
      <c r="R24" s="44">
        <f t="shared" si="1"/>
        <v>0</v>
      </c>
      <c r="S24" s="109"/>
      <c r="T24" s="44">
        <f t="shared" si="2"/>
        <v>0</v>
      </c>
      <c r="U24" s="109">
        <v>1</v>
      </c>
      <c r="V24" s="44">
        <f t="shared" si="3"/>
        <v>1</v>
      </c>
      <c r="W24" s="109"/>
      <c r="X24" s="44">
        <f t="shared" si="4"/>
        <v>0</v>
      </c>
      <c r="Y24" s="109"/>
      <c r="Z24" s="44">
        <f t="shared" si="5"/>
        <v>0</v>
      </c>
      <c r="AA24" s="109">
        <v>1</v>
      </c>
      <c r="AB24" s="44">
        <f t="shared" si="6"/>
        <v>1</v>
      </c>
      <c r="AC24" s="109"/>
      <c r="AD24" s="44">
        <f t="shared" si="7"/>
        <v>0</v>
      </c>
      <c r="AE24" s="109"/>
      <c r="AF24" s="44">
        <f t="shared" si="8"/>
        <v>0</v>
      </c>
      <c r="AG24" s="109"/>
      <c r="AH24" s="44">
        <f t="shared" si="9"/>
        <v>0</v>
      </c>
      <c r="AI24" s="109"/>
      <c r="AJ24" s="44">
        <f t="shared" si="10"/>
        <v>0</v>
      </c>
      <c r="AK24" s="109"/>
      <c r="AL24" s="44">
        <f t="shared" si="11"/>
        <v>0</v>
      </c>
      <c r="AM24" s="64">
        <f t="shared" si="12"/>
        <v>2</v>
      </c>
      <c r="AN24" s="65"/>
      <c r="AO24" s="29"/>
      <c r="AV24" s="17"/>
    </row>
    <row r="25" spans="1:48">
      <c r="A25" s="106">
        <v>1</v>
      </c>
      <c r="B25" s="110" t="s">
        <v>120</v>
      </c>
      <c r="C25" s="110" t="s">
        <v>845</v>
      </c>
      <c r="D25" s="111" t="s">
        <v>846</v>
      </c>
      <c r="E25" s="107" t="s">
        <v>847</v>
      </c>
      <c r="F25" s="107"/>
      <c r="G25" s="107"/>
      <c r="H25" s="106" t="s">
        <v>848</v>
      </c>
      <c r="I25" s="110" t="s">
        <v>849</v>
      </c>
      <c r="J25" s="106"/>
      <c r="K25" s="107"/>
      <c r="L25" s="107"/>
      <c r="M25" s="105"/>
      <c r="N25" s="108"/>
      <c r="O25" s="109">
        <v>2</v>
      </c>
      <c r="P25" s="44">
        <f t="shared" si="0"/>
        <v>2</v>
      </c>
      <c r="Q25" s="109"/>
      <c r="R25" s="44">
        <f t="shared" si="1"/>
        <v>0</v>
      </c>
      <c r="S25" s="109"/>
      <c r="T25" s="44">
        <f t="shared" si="2"/>
        <v>0</v>
      </c>
      <c r="U25" s="109"/>
      <c r="V25" s="44">
        <f t="shared" si="3"/>
        <v>0</v>
      </c>
      <c r="W25" s="109"/>
      <c r="X25" s="44">
        <f t="shared" si="4"/>
        <v>0</v>
      </c>
      <c r="Y25" s="109"/>
      <c r="Z25" s="44">
        <f t="shared" si="5"/>
        <v>0</v>
      </c>
      <c r="AA25" s="109"/>
      <c r="AB25" s="44">
        <f t="shared" si="6"/>
        <v>0</v>
      </c>
      <c r="AC25" s="109"/>
      <c r="AD25" s="44">
        <f t="shared" si="7"/>
        <v>0</v>
      </c>
      <c r="AE25" s="109"/>
      <c r="AF25" s="44">
        <f t="shared" si="8"/>
        <v>0</v>
      </c>
      <c r="AG25" s="109">
        <v>4</v>
      </c>
      <c r="AH25" s="44">
        <f t="shared" si="9"/>
        <v>4</v>
      </c>
      <c r="AI25" s="109"/>
      <c r="AJ25" s="44">
        <f t="shared" si="10"/>
        <v>0</v>
      </c>
      <c r="AK25" s="109"/>
      <c r="AL25" s="44">
        <f t="shared" si="11"/>
        <v>0</v>
      </c>
      <c r="AM25" s="64">
        <f t="shared" si="12"/>
        <v>6</v>
      </c>
      <c r="AN25" s="65"/>
      <c r="AO25" s="29"/>
    </row>
    <row r="26" spans="1:48">
      <c r="A26" s="106">
        <v>1</v>
      </c>
      <c r="B26" s="110" t="s">
        <v>120</v>
      </c>
      <c r="C26" s="110" t="s">
        <v>845</v>
      </c>
      <c r="D26" s="111" t="s">
        <v>850</v>
      </c>
      <c r="E26" s="107" t="s">
        <v>851</v>
      </c>
      <c r="F26" s="107"/>
      <c r="G26" s="107"/>
      <c r="H26" s="106" t="s">
        <v>852</v>
      </c>
      <c r="I26" s="110" t="s">
        <v>849</v>
      </c>
      <c r="J26" s="106"/>
      <c r="K26" s="107"/>
      <c r="L26" s="107"/>
      <c r="M26" s="105"/>
      <c r="N26" s="108"/>
      <c r="O26" s="109">
        <v>2</v>
      </c>
      <c r="P26" s="44">
        <f t="shared" si="0"/>
        <v>2</v>
      </c>
      <c r="Q26" s="109"/>
      <c r="R26" s="44">
        <f t="shared" si="1"/>
        <v>0</v>
      </c>
      <c r="S26" s="109"/>
      <c r="T26" s="44">
        <f t="shared" si="2"/>
        <v>0</v>
      </c>
      <c r="U26" s="109"/>
      <c r="V26" s="44">
        <f t="shared" si="3"/>
        <v>0</v>
      </c>
      <c r="W26" s="109"/>
      <c r="X26" s="44">
        <f t="shared" si="4"/>
        <v>0</v>
      </c>
      <c r="Y26" s="109"/>
      <c r="Z26" s="44">
        <f t="shared" si="5"/>
        <v>0</v>
      </c>
      <c r="AA26" s="109"/>
      <c r="AB26" s="44">
        <f t="shared" si="6"/>
        <v>0</v>
      </c>
      <c r="AC26" s="109"/>
      <c r="AD26" s="44">
        <f t="shared" si="7"/>
        <v>0</v>
      </c>
      <c r="AE26" s="109"/>
      <c r="AF26" s="44">
        <f t="shared" si="8"/>
        <v>0</v>
      </c>
      <c r="AG26" s="109">
        <v>4</v>
      </c>
      <c r="AH26" s="44">
        <f t="shared" si="9"/>
        <v>4</v>
      </c>
      <c r="AI26" s="109"/>
      <c r="AJ26" s="44">
        <f t="shared" si="10"/>
        <v>0</v>
      </c>
      <c r="AK26" s="109"/>
      <c r="AL26" s="44">
        <f t="shared" si="11"/>
        <v>0</v>
      </c>
      <c r="AM26" s="64">
        <f t="shared" si="12"/>
        <v>6</v>
      </c>
      <c r="AN26" s="65"/>
      <c r="AO26" s="29"/>
      <c r="AV26" s="8"/>
    </row>
    <row r="27" spans="1:48">
      <c r="A27" s="106">
        <v>1</v>
      </c>
      <c r="B27" s="110" t="s">
        <v>131</v>
      </c>
      <c r="C27" s="110" t="s">
        <v>853</v>
      </c>
      <c r="D27" s="111" t="s">
        <v>854</v>
      </c>
      <c r="E27" s="107" t="s">
        <v>855</v>
      </c>
      <c r="F27" s="107"/>
      <c r="G27" s="107"/>
      <c r="H27" s="106" t="s">
        <v>856</v>
      </c>
      <c r="I27" s="110" t="s">
        <v>857</v>
      </c>
      <c r="J27" s="106"/>
      <c r="K27" s="107"/>
      <c r="L27" s="107"/>
      <c r="M27" s="105"/>
      <c r="N27" s="108"/>
      <c r="O27" s="109"/>
      <c r="P27" s="44">
        <f t="shared" si="0"/>
        <v>0</v>
      </c>
      <c r="Q27" s="109"/>
      <c r="R27" s="44">
        <f t="shared" si="1"/>
        <v>0</v>
      </c>
      <c r="S27" s="109"/>
      <c r="T27" s="44">
        <f t="shared" si="2"/>
        <v>0</v>
      </c>
      <c r="U27" s="109">
        <v>0.25</v>
      </c>
      <c r="V27" s="44">
        <f t="shared" si="3"/>
        <v>0.25</v>
      </c>
      <c r="W27" s="109"/>
      <c r="X27" s="44">
        <f t="shared" si="4"/>
        <v>0</v>
      </c>
      <c r="Y27" s="109"/>
      <c r="Z27" s="44">
        <f t="shared" si="5"/>
        <v>0</v>
      </c>
      <c r="AA27" s="109"/>
      <c r="AB27" s="44">
        <f t="shared" si="6"/>
        <v>0</v>
      </c>
      <c r="AC27" s="109"/>
      <c r="AD27" s="44">
        <f t="shared" si="7"/>
        <v>0</v>
      </c>
      <c r="AE27" s="109"/>
      <c r="AF27" s="44">
        <f t="shared" si="8"/>
        <v>0</v>
      </c>
      <c r="AG27" s="109">
        <v>0.25</v>
      </c>
      <c r="AH27" s="44">
        <f t="shared" si="9"/>
        <v>0.25</v>
      </c>
      <c r="AI27" s="109"/>
      <c r="AJ27" s="44">
        <f t="shared" si="10"/>
        <v>0</v>
      </c>
      <c r="AK27" s="109"/>
      <c r="AL27" s="44">
        <f t="shared" si="11"/>
        <v>0</v>
      </c>
      <c r="AM27" s="64">
        <f t="shared" si="12"/>
        <v>0.5</v>
      </c>
      <c r="AN27" s="65"/>
      <c r="AO27" s="29"/>
    </row>
    <row r="28" spans="1:48">
      <c r="A28" s="106">
        <v>1</v>
      </c>
      <c r="B28" s="110" t="s">
        <v>131</v>
      </c>
      <c r="C28" s="110" t="s">
        <v>853</v>
      </c>
      <c r="D28" s="111" t="s">
        <v>858</v>
      </c>
      <c r="E28" s="107" t="s">
        <v>859</v>
      </c>
      <c r="F28" s="107"/>
      <c r="G28" s="107"/>
      <c r="H28" s="106" t="s">
        <v>860</v>
      </c>
      <c r="I28" s="110" t="s">
        <v>849</v>
      </c>
      <c r="J28" s="106"/>
      <c r="K28" s="107"/>
      <c r="L28" s="107"/>
      <c r="M28" s="105"/>
      <c r="N28" s="108"/>
      <c r="O28" s="109"/>
      <c r="P28" s="44">
        <f t="shared" si="0"/>
        <v>0</v>
      </c>
      <c r="Q28" s="109"/>
      <c r="R28" s="44">
        <f t="shared" si="1"/>
        <v>0</v>
      </c>
      <c r="S28" s="109"/>
      <c r="T28" s="44">
        <f t="shared" si="2"/>
        <v>0</v>
      </c>
      <c r="U28" s="109">
        <v>0.25</v>
      </c>
      <c r="V28" s="44">
        <f t="shared" si="3"/>
        <v>0.25</v>
      </c>
      <c r="W28" s="109"/>
      <c r="X28" s="44">
        <f t="shared" si="4"/>
        <v>0</v>
      </c>
      <c r="Y28" s="109"/>
      <c r="Z28" s="44">
        <f t="shared" si="5"/>
        <v>0</v>
      </c>
      <c r="AA28" s="109"/>
      <c r="AB28" s="44">
        <f t="shared" si="6"/>
        <v>0</v>
      </c>
      <c r="AC28" s="109"/>
      <c r="AD28" s="44">
        <f t="shared" si="7"/>
        <v>0</v>
      </c>
      <c r="AE28" s="109"/>
      <c r="AF28" s="44">
        <f t="shared" si="8"/>
        <v>0</v>
      </c>
      <c r="AG28" s="109">
        <v>0.25</v>
      </c>
      <c r="AH28" s="44">
        <f t="shared" si="9"/>
        <v>0.25</v>
      </c>
      <c r="AI28" s="109"/>
      <c r="AJ28" s="44">
        <f t="shared" si="10"/>
        <v>0</v>
      </c>
      <c r="AK28" s="109"/>
      <c r="AL28" s="44">
        <f t="shared" si="11"/>
        <v>0</v>
      </c>
      <c r="AM28" s="64">
        <f t="shared" si="12"/>
        <v>0.5</v>
      </c>
      <c r="AN28" s="65"/>
      <c r="AO28" s="29"/>
    </row>
    <row r="29" spans="1:48">
      <c r="A29" s="106">
        <v>1</v>
      </c>
      <c r="B29" s="110" t="s">
        <v>131</v>
      </c>
      <c r="C29" s="110" t="s">
        <v>853</v>
      </c>
      <c r="D29" s="111" t="s">
        <v>854</v>
      </c>
      <c r="E29" s="107" t="s">
        <v>861</v>
      </c>
      <c r="F29" s="107"/>
      <c r="G29" s="107"/>
      <c r="H29" s="106" t="s">
        <v>862</v>
      </c>
      <c r="I29" s="110" t="s">
        <v>863</v>
      </c>
      <c r="J29" s="106"/>
      <c r="K29" s="107"/>
      <c r="L29" s="107"/>
      <c r="M29" s="105"/>
      <c r="N29" s="108"/>
      <c r="O29" s="109"/>
      <c r="P29" s="44">
        <f t="shared" si="0"/>
        <v>0</v>
      </c>
      <c r="Q29" s="109"/>
      <c r="R29" s="44">
        <f t="shared" si="1"/>
        <v>0</v>
      </c>
      <c r="S29" s="109"/>
      <c r="T29" s="44">
        <f t="shared" si="2"/>
        <v>0</v>
      </c>
      <c r="U29" s="109">
        <v>0.25</v>
      </c>
      <c r="V29" s="44">
        <f t="shared" si="3"/>
        <v>0.25</v>
      </c>
      <c r="W29" s="109"/>
      <c r="X29" s="44">
        <f t="shared" si="4"/>
        <v>0</v>
      </c>
      <c r="Y29" s="109"/>
      <c r="Z29" s="44">
        <f t="shared" si="5"/>
        <v>0</v>
      </c>
      <c r="AA29" s="109"/>
      <c r="AB29" s="44">
        <f t="shared" si="6"/>
        <v>0</v>
      </c>
      <c r="AC29" s="109"/>
      <c r="AD29" s="44">
        <f t="shared" si="7"/>
        <v>0</v>
      </c>
      <c r="AE29" s="109"/>
      <c r="AF29" s="44">
        <f t="shared" si="8"/>
        <v>0</v>
      </c>
      <c r="AG29" s="109">
        <v>0.25</v>
      </c>
      <c r="AH29" s="44">
        <f t="shared" si="9"/>
        <v>0.25</v>
      </c>
      <c r="AI29" s="109"/>
      <c r="AJ29" s="44">
        <f t="shared" si="10"/>
        <v>0</v>
      </c>
      <c r="AK29" s="109"/>
      <c r="AL29" s="44">
        <f t="shared" si="11"/>
        <v>0</v>
      </c>
      <c r="AM29" s="64">
        <f t="shared" si="12"/>
        <v>0.5</v>
      </c>
      <c r="AN29" s="65"/>
      <c r="AO29" s="29"/>
    </row>
    <row r="30" spans="1:48">
      <c r="A30" s="106">
        <v>1</v>
      </c>
      <c r="B30" s="110" t="s">
        <v>131</v>
      </c>
      <c r="C30" s="110" t="s">
        <v>853</v>
      </c>
      <c r="D30" s="111" t="s">
        <v>864</v>
      </c>
      <c r="E30" s="107" t="s">
        <v>865</v>
      </c>
      <c r="F30" s="107"/>
      <c r="G30" s="107"/>
      <c r="H30" s="106" t="s">
        <v>866</v>
      </c>
      <c r="I30" s="110" t="s">
        <v>867</v>
      </c>
      <c r="J30" s="106"/>
      <c r="K30" s="107"/>
      <c r="L30" s="107"/>
      <c r="M30" s="105"/>
      <c r="N30" s="108"/>
      <c r="O30" s="109"/>
      <c r="P30" s="44">
        <f t="shared" si="0"/>
        <v>0</v>
      </c>
      <c r="Q30" s="109"/>
      <c r="R30" s="44">
        <f t="shared" si="1"/>
        <v>0</v>
      </c>
      <c r="S30" s="109"/>
      <c r="T30" s="44">
        <f t="shared" si="2"/>
        <v>0</v>
      </c>
      <c r="U30" s="109">
        <v>0.25</v>
      </c>
      <c r="V30" s="44">
        <f t="shared" si="3"/>
        <v>0.25</v>
      </c>
      <c r="W30" s="109"/>
      <c r="X30" s="44">
        <f t="shared" si="4"/>
        <v>0</v>
      </c>
      <c r="Y30" s="109"/>
      <c r="Z30" s="44">
        <f t="shared" si="5"/>
        <v>0</v>
      </c>
      <c r="AA30" s="109"/>
      <c r="AB30" s="44">
        <f t="shared" si="6"/>
        <v>0</v>
      </c>
      <c r="AC30" s="109"/>
      <c r="AD30" s="44">
        <f t="shared" si="7"/>
        <v>0</v>
      </c>
      <c r="AE30" s="109"/>
      <c r="AF30" s="44">
        <f t="shared" si="8"/>
        <v>0</v>
      </c>
      <c r="AG30" s="109">
        <v>0.25</v>
      </c>
      <c r="AH30" s="44">
        <f t="shared" si="9"/>
        <v>0.25</v>
      </c>
      <c r="AI30" s="109"/>
      <c r="AJ30" s="44">
        <f t="shared" si="10"/>
        <v>0</v>
      </c>
      <c r="AK30" s="109"/>
      <c r="AL30" s="44">
        <f t="shared" si="11"/>
        <v>0</v>
      </c>
      <c r="AM30" s="64">
        <f t="shared" si="12"/>
        <v>0.5</v>
      </c>
      <c r="AN30" s="65"/>
      <c r="AO30" s="29"/>
    </row>
    <row r="31" spans="1:48">
      <c r="A31" s="106">
        <v>1</v>
      </c>
      <c r="B31" s="110" t="s">
        <v>131</v>
      </c>
      <c r="C31" s="110" t="s">
        <v>868</v>
      </c>
      <c r="D31" s="111" t="s">
        <v>869</v>
      </c>
      <c r="E31" s="107" t="s">
        <v>870</v>
      </c>
      <c r="F31" s="107"/>
      <c r="G31" s="107"/>
      <c r="H31" s="106" t="s">
        <v>871</v>
      </c>
      <c r="I31" s="110" t="s">
        <v>849</v>
      </c>
      <c r="J31" s="106"/>
      <c r="K31" s="107"/>
      <c r="L31" s="107"/>
      <c r="M31" s="105"/>
      <c r="N31" s="108"/>
      <c r="O31" s="109"/>
      <c r="P31" s="44">
        <f t="shared" si="0"/>
        <v>0</v>
      </c>
      <c r="Q31" s="109"/>
      <c r="R31" s="44">
        <f t="shared" si="1"/>
        <v>0</v>
      </c>
      <c r="S31" s="109"/>
      <c r="T31" s="44">
        <f t="shared" si="2"/>
        <v>0</v>
      </c>
      <c r="U31" s="109">
        <v>0.25</v>
      </c>
      <c r="V31" s="44">
        <f t="shared" si="3"/>
        <v>0.25</v>
      </c>
      <c r="W31" s="109"/>
      <c r="X31" s="44">
        <f t="shared" si="4"/>
        <v>0</v>
      </c>
      <c r="Y31" s="109"/>
      <c r="Z31" s="44">
        <f t="shared" si="5"/>
        <v>0</v>
      </c>
      <c r="AA31" s="109"/>
      <c r="AB31" s="44">
        <f t="shared" si="6"/>
        <v>0</v>
      </c>
      <c r="AC31" s="109"/>
      <c r="AD31" s="44">
        <f t="shared" si="7"/>
        <v>0</v>
      </c>
      <c r="AE31" s="109"/>
      <c r="AF31" s="44">
        <f t="shared" si="8"/>
        <v>0</v>
      </c>
      <c r="AG31" s="109">
        <v>0.25</v>
      </c>
      <c r="AH31" s="44">
        <f t="shared" si="9"/>
        <v>0.25</v>
      </c>
      <c r="AI31" s="109"/>
      <c r="AJ31" s="44">
        <f t="shared" si="10"/>
        <v>0</v>
      </c>
      <c r="AK31" s="109"/>
      <c r="AL31" s="44">
        <f t="shared" si="11"/>
        <v>0</v>
      </c>
      <c r="AM31" s="64">
        <f t="shared" si="12"/>
        <v>0.5</v>
      </c>
      <c r="AN31" s="65"/>
      <c r="AO31" s="29"/>
    </row>
    <row r="32" spans="1:48">
      <c r="A32" s="106">
        <v>1</v>
      </c>
      <c r="B32" s="110" t="s">
        <v>131</v>
      </c>
      <c r="C32" s="110" t="s">
        <v>868</v>
      </c>
      <c r="D32" s="111" t="s">
        <v>869</v>
      </c>
      <c r="E32" s="107" t="s">
        <v>872</v>
      </c>
      <c r="F32" s="107"/>
      <c r="G32" s="107"/>
      <c r="H32" s="106" t="s">
        <v>873</v>
      </c>
      <c r="I32" s="110" t="s">
        <v>849</v>
      </c>
      <c r="J32" s="106"/>
      <c r="K32" s="107"/>
      <c r="L32" s="107"/>
      <c r="M32" s="105"/>
      <c r="N32" s="108"/>
      <c r="O32" s="109"/>
      <c r="P32" s="44">
        <f t="shared" si="0"/>
        <v>0</v>
      </c>
      <c r="Q32" s="109"/>
      <c r="R32" s="44">
        <f t="shared" si="1"/>
        <v>0</v>
      </c>
      <c r="S32" s="109"/>
      <c r="T32" s="44">
        <f t="shared" si="2"/>
        <v>0</v>
      </c>
      <c r="U32" s="109">
        <v>0.25</v>
      </c>
      <c r="V32" s="44">
        <f t="shared" si="3"/>
        <v>0.25</v>
      </c>
      <c r="W32" s="109"/>
      <c r="X32" s="44">
        <f t="shared" si="4"/>
        <v>0</v>
      </c>
      <c r="Y32" s="109"/>
      <c r="Z32" s="44">
        <f t="shared" si="5"/>
        <v>0</v>
      </c>
      <c r="AA32" s="109"/>
      <c r="AB32" s="44">
        <f t="shared" si="6"/>
        <v>0</v>
      </c>
      <c r="AC32" s="109"/>
      <c r="AD32" s="44">
        <f t="shared" si="7"/>
        <v>0</v>
      </c>
      <c r="AE32" s="109"/>
      <c r="AF32" s="44">
        <f t="shared" si="8"/>
        <v>0</v>
      </c>
      <c r="AG32" s="109">
        <v>0.25</v>
      </c>
      <c r="AH32" s="44">
        <f t="shared" si="9"/>
        <v>0.25</v>
      </c>
      <c r="AI32" s="109"/>
      <c r="AJ32" s="44">
        <f t="shared" si="10"/>
        <v>0</v>
      </c>
      <c r="AK32" s="109"/>
      <c r="AL32" s="44">
        <f t="shared" si="11"/>
        <v>0</v>
      </c>
      <c r="AM32" s="64">
        <f t="shared" si="12"/>
        <v>0.5</v>
      </c>
      <c r="AN32" s="65"/>
      <c r="AO32" s="29"/>
    </row>
    <row r="33" spans="1:41">
      <c r="A33" s="106">
        <v>1</v>
      </c>
      <c r="B33" s="110" t="s">
        <v>131</v>
      </c>
      <c r="C33" s="110" t="s">
        <v>868</v>
      </c>
      <c r="D33" s="111" t="s">
        <v>869</v>
      </c>
      <c r="E33" s="107" t="s">
        <v>874</v>
      </c>
      <c r="F33" s="107"/>
      <c r="G33" s="107"/>
      <c r="H33" s="106" t="s">
        <v>875</v>
      </c>
      <c r="I33" s="110" t="s">
        <v>867</v>
      </c>
      <c r="J33" s="106"/>
      <c r="K33" s="107"/>
      <c r="L33" s="107"/>
      <c r="M33" s="105"/>
      <c r="N33" s="108"/>
      <c r="O33" s="109"/>
      <c r="P33" s="44">
        <f t="shared" si="0"/>
        <v>0</v>
      </c>
      <c r="Q33" s="109"/>
      <c r="R33" s="44">
        <f t="shared" si="1"/>
        <v>0</v>
      </c>
      <c r="S33" s="109"/>
      <c r="T33" s="44">
        <f t="shared" si="2"/>
        <v>0</v>
      </c>
      <c r="U33" s="109">
        <v>0.25</v>
      </c>
      <c r="V33" s="44">
        <f t="shared" si="3"/>
        <v>0.25</v>
      </c>
      <c r="W33" s="109"/>
      <c r="X33" s="44">
        <f t="shared" si="4"/>
        <v>0</v>
      </c>
      <c r="Y33" s="109"/>
      <c r="Z33" s="44">
        <f t="shared" si="5"/>
        <v>0</v>
      </c>
      <c r="AA33" s="109"/>
      <c r="AB33" s="44">
        <f t="shared" si="6"/>
        <v>0</v>
      </c>
      <c r="AC33" s="109"/>
      <c r="AD33" s="44">
        <f t="shared" si="7"/>
        <v>0</v>
      </c>
      <c r="AE33" s="109"/>
      <c r="AF33" s="44">
        <f t="shared" si="8"/>
        <v>0</v>
      </c>
      <c r="AG33" s="109">
        <v>0.25</v>
      </c>
      <c r="AH33" s="44">
        <f t="shared" si="9"/>
        <v>0.25</v>
      </c>
      <c r="AI33" s="109"/>
      <c r="AJ33" s="44">
        <f t="shared" si="10"/>
        <v>0</v>
      </c>
      <c r="AK33" s="109"/>
      <c r="AL33" s="44">
        <f t="shared" si="11"/>
        <v>0</v>
      </c>
      <c r="AM33" s="64">
        <f t="shared" si="12"/>
        <v>0.5</v>
      </c>
      <c r="AN33" s="65"/>
      <c r="AO33" s="29"/>
    </row>
    <row r="34" spans="1:41">
      <c r="A34" s="106">
        <v>1</v>
      </c>
      <c r="B34" s="110" t="s">
        <v>131</v>
      </c>
      <c r="C34" s="110" t="s">
        <v>868</v>
      </c>
      <c r="D34" s="111" t="s">
        <v>869</v>
      </c>
      <c r="E34" s="107" t="s">
        <v>876</v>
      </c>
      <c r="F34" s="107"/>
      <c r="G34" s="107"/>
      <c r="H34" s="106" t="s">
        <v>877</v>
      </c>
      <c r="I34" s="110" t="s">
        <v>867</v>
      </c>
      <c r="J34" s="106"/>
      <c r="K34" s="107"/>
      <c r="L34" s="107"/>
      <c r="M34" s="105"/>
      <c r="N34" s="108"/>
      <c r="O34" s="109"/>
      <c r="P34" s="44">
        <f t="shared" si="0"/>
        <v>0</v>
      </c>
      <c r="Q34" s="109"/>
      <c r="R34" s="44">
        <f t="shared" si="1"/>
        <v>0</v>
      </c>
      <c r="S34" s="109"/>
      <c r="T34" s="44">
        <f t="shared" si="2"/>
        <v>0</v>
      </c>
      <c r="U34" s="109">
        <v>0.25</v>
      </c>
      <c r="V34" s="44">
        <f t="shared" si="3"/>
        <v>0.25</v>
      </c>
      <c r="W34" s="109"/>
      <c r="X34" s="44">
        <f t="shared" si="4"/>
        <v>0</v>
      </c>
      <c r="Y34" s="109"/>
      <c r="Z34" s="44">
        <f t="shared" si="5"/>
        <v>0</v>
      </c>
      <c r="AA34" s="109"/>
      <c r="AB34" s="44">
        <f t="shared" si="6"/>
        <v>0</v>
      </c>
      <c r="AC34" s="109"/>
      <c r="AD34" s="44">
        <f t="shared" si="7"/>
        <v>0</v>
      </c>
      <c r="AE34" s="109"/>
      <c r="AF34" s="44">
        <f t="shared" si="8"/>
        <v>0</v>
      </c>
      <c r="AG34" s="109">
        <v>0.25</v>
      </c>
      <c r="AH34" s="44">
        <f t="shared" si="9"/>
        <v>0.25</v>
      </c>
      <c r="AI34" s="109"/>
      <c r="AJ34" s="44">
        <f t="shared" si="10"/>
        <v>0</v>
      </c>
      <c r="AK34" s="109"/>
      <c r="AL34" s="44">
        <f t="shared" si="11"/>
        <v>0</v>
      </c>
      <c r="AM34" s="64">
        <f t="shared" si="12"/>
        <v>0.5</v>
      </c>
      <c r="AN34" s="65"/>
      <c r="AO34" s="29"/>
    </row>
    <row r="35" spans="1:41">
      <c r="A35" s="106">
        <v>1</v>
      </c>
      <c r="B35" s="110" t="s">
        <v>131</v>
      </c>
      <c r="C35" s="110" t="s">
        <v>868</v>
      </c>
      <c r="D35" s="111" t="s">
        <v>869</v>
      </c>
      <c r="E35" s="107" t="s">
        <v>878</v>
      </c>
      <c r="F35" s="107"/>
      <c r="G35" s="107"/>
      <c r="H35" s="106" t="s">
        <v>879</v>
      </c>
      <c r="I35" s="110" t="s">
        <v>867</v>
      </c>
      <c r="J35" s="106"/>
      <c r="K35" s="107"/>
      <c r="L35" s="107"/>
      <c r="M35" s="105"/>
      <c r="N35" s="108"/>
      <c r="O35" s="109"/>
      <c r="P35" s="44">
        <f t="shared" si="0"/>
        <v>0</v>
      </c>
      <c r="Q35" s="109"/>
      <c r="R35" s="44">
        <f t="shared" si="1"/>
        <v>0</v>
      </c>
      <c r="S35" s="109"/>
      <c r="T35" s="44">
        <f t="shared" si="2"/>
        <v>0</v>
      </c>
      <c r="U35" s="109">
        <v>0.25</v>
      </c>
      <c r="V35" s="44">
        <f t="shared" si="3"/>
        <v>0.25</v>
      </c>
      <c r="W35" s="109"/>
      <c r="X35" s="44">
        <f t="shared" si="4"/>
        <v>0</v>
      </c>
      <c r="Y35" s="109"/>
      <c r="Z35" s="44">
        <f t="shared" si="5"/>
        <v>0</v>
      </c>
      <c r="AA35" s="109"/>
      <c r="AB35" s="44">
        <f t="shared" si="6"/>
        <v>0</v>
      </c>
      <c r="AC35" s="109"/>
      <c r="AD35" s="44">
        <f t="shared" si="7"/>
        <v>0</v>
      </c>
      <c r="AE35" s="109"/>
      <c r="AF35" s="44">
        <f t="shared" si="8"/>
        <v>0</v>
      </c>
      <c r="AG35" s="109">
        <v>0.25</v>
      </c>
      <c r="AH35" s="44">
        <f t="shared" si="9"/>
        <v>0.25</v>
      </c>
      <c r="AI35" s="109"/>
      <c r="AJ35" s="44">
        <f t="shared" si="10"/>
        <v>0</v>
      </c>
      <c r="AK35" s="109"/>
      <c r="AL35" s="44">
        <f t="shared" si="11"/>
        <v>0</v>
      </c>
      <c r="AM35" s="64">
        <f t="shared" si="12"/>
        <v>0.5</v>
      </c>
      <c r="AN35" s="65"/>
      <c r="AO35" s="29"/>
    </row>
    <row r="36" spans="1:41">
      <c r="A36" s="106">
        <v>1</v>
      </c>
      <c r="B36" s="110" t="s">
        <v>131</v>
      </c>
      <c r="C36" s="110" t="s">
        <v>868</v>
      </c>
      <c r="D36" s="111" t="s">
        <v>869</v>
      </c>
      <c r="E36" s="107" t="s">
        <v>880</v>
      </c>
      <c r="F36" s="107"/>
      <c r="G36" s="107"/>
      <c r="H36" s="106" t="s">
        <v>881</v>
      </c>
      <c r="I36" s="110" t="s">
        <v>867</v>
      </c>
      <c r="J36" s="106"/>
      <c r="K36" s="107"/>
      <c r="L36" s="107"/>
      <c r="M36" s="105"/>
      <c r="N36" s="108"/>
      <c r="O36" s="109"/>
      <c r="P36" s="44">
        <f t="shared" si="0"/>
        <v>0</v>
      </c>
      <c r="Q36" s="109"/>
      <c r="R36" s="44">
        <f t="shared" si="1"/>
        <v>0</v>
      </c>
      <c r="S36" s="109"/>
      <c r="T36" s="44">
        <f t="shared" si="2"/>
        <v>0</v>
      </c>
      <c r="U36" s="109">
        <v>0.25</v>
      </c>
      <c r="V36" s="44">
        <f t="shared" si="3"/>
        <v>0.25</v>
      </c>
      <c r="W36" s="109"/>
      <c r="X36" s="44">
        <f t="shared" si="4"/>
        <v>0</v>
      </c>
      <c r="Y36" s="109"/>
      <c r="Z36" s="44">
        <f t="shared" si="5"/>
        <v>0</v>
      </c>
      <c r="AA36" s="109"/>
      <c r="AB36" s="44">
        <f t="shared" si="6"/>
        <v>0</v>
      </c>
      <c r="AC36" s="109"/>
      <c r="AD36" s="44">
        <f t="shared" si="7"/>
        <v>0</v>
      </c>
      <c r="AE36" s="109"/>
      <c r="AF36" s="44">
        <f t="shared" si="8"/>
        <v>0</v>
      </c>
      <c r="AG36" s="109">
        <v>0.25</v>
      </c>
      <c r="AH36" s="44">
        <f t="shared" si="9"/>
        <v>0.25</v>
      </c>
      <c r="AI36" s="109"/>
      <c r="AJ36" s="44">
        <f t="shared" si="10"/>
        <v>0</v>
      </c>
      <c r="AK36" s="109"/>
      <c r="AL36" s="44">
        <f t="shared" si="11"/>
        <v>0</v>
      </c>
      <c r="AM36" s="64">
        <f t="shared" si="12"/>
        <v>0.5</v>
      </c>
      <c r="AN36" s="65"/>
      <c r="AO36" s="29"/>
    </row>
    <row r="37" spans="1:41">
      <c r="A37" s="106">
        <v>1</v>
      </c>
      <c r="B37" s="110" t="s">
        <v>124</v>
      </c>
      <c r="C37" s="110" t="s">
        <v>882</v>
      </c>
      <c r="D37" s="111"/>
      <c r="E37" s="107"/>
      <c r="F37" s="107" t="s">
        <v>883</v>
      </c>
      <c r="G37" s="107"/>
      <c r="H37" s="106"/>
      <c r="I37" s="110"/>
      <c r="J37" s="106"/>
      <c r="K37" s="107"/>
      <c r="L37" s="107"/>
      <c r="M37" s="105"/>
      <c r="N37" s="108"/>
      <c r="O37" s="109"/>
      <c r="P37" s="44">
        <f t="shared" si="0"/>
        <v>0</v>
      </c>
      <c r="Q37" s="109"/>
      <c r="R37" s="44">
        <f t="shared" si="1"/>
        <v>0</v>
      </c>
      <c r="S37" s="109"/>
      <c r="T37" s="44">
        <f t="shared" si="2"/>
        <v>0</v>
      </c>
      <c r="U37" s="109">
        <v>0.25</v>
      </c>
      <c r="V37" s="44">
        <f t="shared" si="3"/>
        <v>0.25</v>
      </c>
      <c r="W37" s="109"/>
      <c r="X37" s="44">
        <f t="shared" si="4"/>
        <v>0</v>
      </c>
      <c r="Y37" s="109"/>
      <c r="Z37" s="44">
        <f t="shared" si="5"/>
        <v>0</v>
      </c>
      <c r="AA37" s="109"/>
      <c r="AB37" s="44">
        <f t="shared" si="6"/>
        <v>0</v>
      </c>
      <c r="AC37" s="109"/>
      <c r="AD37" s="44">
        <f t="shared" si="7"/>
        <v>0</v>
      </c>
      <c r="AE37" s="109"/>
      <c r="AF37" s="44">
        <f t="shared" si="8"/>
        <v>0</v>
      </c>
      <c r="AG37" s="109">
        <v>0.25</v>
      </c>
      <c r="AH37" s="44">
        <f t="shared" si="9"/>
        <v>0.25</v>
      </c>
      <c r="AI37" s="109"/>
      <c r="AJ37" s="44">
        <f t="shared" si="10"/>
        <v>0</v>
      </c>
      <c r="AK37" s="109"/>
      <c r="AL37" s="44">
        <f t="shared" si="11"/>
        <v>0</v>
      </c>
      <c r="AM37" s="64">
        <f t="shared" si="12"/>
        <v>0.5</v>
      </c>
      <c r="AN37" s="65"/>
      <c r="AO37" s="29"/>
    </row>
    <row r="38" spans="1:41">
      <c r="A38" s="106">
        <v>1</v>
      </c>
      <c r="B38" s="110" t="s">
        <v>127</v>
      </c>
      <c r="C38" s="110" t="s">
        <v>784</v>
      </c>
      <c r="D38" s="111" t="s">
        <v>884</v>
      </c>
      <c r="E38" s="107" t="s">
        <v>885</v>
      </c>
      <c r="F38" s="107" t="s">
        <v>886</v>
      </c>
      <c r="G38" s="107"/>
      <c r="H38" s="106" t="s">
        <v>887</v>
      </c>
      <c r="I38" s="110" t="s">
        <v>794</v>
      </c>
      <c r="J38" s="106"/>
      <c r="K38" s="107"/>
      <c r="L38" s="107"/>
      <c r="M38" s="105"/>
      <c r="N38" s="108"/>
      <c r="O38" s="109">
        <v>1</v>
      </c>
      <c r="P38" s="44">
        <f t="shared" si="0"/>
        <v>1</v>
      </c>
      <c r="Q38" s="109"/>
      <c r="R38" s="44">
        <f t="shared" si="1"/>
        <v>0</v>
      </c>
      <c r="S38" s="109"/>
      <c r="T38" s="44">
        <f t="shared" si="2"/>
        <v>0</v>
      </c>
      <c r="U38" s="109">
        <v>1</v>
      </c>
      <c r="V38" s="44">
        <f t="shared" si="3"/>
        <v>1</v>
      </c>
      <c r="W38" s="109"/>
      <c r="X38" s="44">
        <f t="shared" si="4"/>
        <v>0</v>
      </c>
      <c r="Y38" s="109"/>
      <c r="Z38" s="44">
        <f t="shared" si="5"/>
        <v>0</v>
      </c>
      <c r="AA38" s="109">
        <v>1</v>
      </c>
      <c r="AB38" s="44">
        <f t="shared" si="6"/>
        <v>1</v>
      </c>
      <c r="AC38" s="109"/>
      <c r="AD38" s="44">
        <f t="shared" si="7"/>
        <v>0</v>
      </c>
      <c r="AE38" s="109"/>
      <c r="AF38" s="44">
        <f t="shared" si="8"/>
        <v>0</v>
      </c>
      <c r="AG38" s="109">
        <v>1</v>
      </c>
      <c r="AH38" s="44">
        <f t="shared" si="9"/>
        <v>1</v>
      </c>
      <c r="AI38" s="109"/>
      <c r="AJ38" s="44">
        <f t="shared" si="10"/>
        <v>0</v>
      </c>
      <c r="AK38" s="109"/>
      <c r="AL38" s="44">
        <f t="shared" si="11"/>
        <v>0</v>
      </c>
      <c r="AM38" s="64">
        <f t="shared" si="12"/>
        <v>4</v>
      </c>
      <c r="AN38" s="65"/>
      <c r="AO38" s="29"/>
    </row>
    <row r="39" spans="1:41">
      <c r="A39" s="106">
        <v>1</v>
      </c>
      <c r="B39" s="110" t="s">
        <v>121</v>
      </c>
      <c r="C39" s="110" t="s">
        <v>825</v>
      </c>
      <c r="D39" s="111"/>
      <c r="E39" s="107"/>
      <c r="F39" s="107" t="s">
        <v>888</v>
      </c>
      <c r="G39" s="107"/>
      <c r="H39" s="106"/>
      <c r="I39" s="110"/>
      <c r="J39" s="106"/>
      <c r="K39" s="107"/>
      <c r="L39" s="107"/>
      <c r="M39" s="105"/>
      <c r="N39" s="108"/>
      <c r="O39" s="109"/>
      <c r="P39" s="44">
        <f t="shared" si="0"/>
        <v>0</v>
      </c>
      <c r="Q39" s="109"/>
      <c r="R39" s="44">
        <f t="shared" si="1"/>
        <v>0</v>
      </c>
      <c r="S39" s="109"/>
      <c r="T39" s="44">
        <f t="shared" si="2"/>
        <v>0</v>
      </c>
      <c r="U39" s="109">
        <v>1.5</v>
      </c>
      <c r="V39" s="44">
        <f t="shared" si="3"/>
        <v>1.5</v>
      </c>
      <c r="W39" s="109"/>
      <c r="X39" s="44">
        <f t="shared" si="4"/>
        <v>0</v>
      </c>
      <c r="Y39" s="109"/>
      <c r="Z39" s="44">
        <f t="shared" si="5"/>
        <v>0</v>
      </c>
      <c r="AA39" s="109">
        <v>1.5</v>
      </c>
      <c r="AB39" s="44">
        <f t="shared" si="6"/>
        <v>1.5</v>
      </c>
      <c r="AC39" s="109"/>
      <c r="AD39" s="44">
        <f t="shared" si="7"/>
        <v>0</v>
      </c>
      <c r="AE39" s="109"/>
      <c r="AF39" s="44">
        <f t="shared" si="8"/>
        <v>0</v>
      </c>
      <c r="AG39" s="109"/>
      <c r="AH39" s="44">
        <f t="shared" si="9"/>
        <v>0</v>
      </c>
      <c r="AI39" s="109"/>
      <c r="AJ39" s="44">
        <f t="shared" si="10"/>
        <v>0</v>
      </c>
      <c r="AK39" s="109"/>
      <c r="AL39" s="44">
        <f t="shared" si="11"/>
        <v>0</v>
      </c>
      <c r="AM39" s="64">
        <f t="shared" si="12"/>
        <v>3</v>
      </c>
      <c r="AN39" s="65"/>
      <c r="AO39" s="29"/>
    </row>
    <row r="40" spans="1:41">
      <c r="A40" s="106">
        <v>1</v>
      </c>
      <c r="B40" s="110" t="s">
        <v>127</v>
      </c>
      <c r="C40" s="110" t="s">
        <v>825</v>
      </c>
      <c r="D40" s="111" t="s">
        <v>889</v>
      </c>
      <c r="E40" s="107" t="s">
        <v>890</v>
      </c>
      <c r="F40" s="107"/>
      <c r="G40" s="107"/>
      <c r="H40" s="106"/>
      <c r="I40" s="110" t="s">
        <v>891</v>
      </c>
      <c r="J40" s="106"/>
      <c r="K40" s="107"/>
      <c r="L40" s="107"/>
      <c r="M40" s="107"/>
      <c r="N40" s="112"/>
      <c r="O40" s="109">
        <v>1</v>
      </c>
      <c r="P40" s="44">
        <f t="shared" si="0"/>
        <v>1</v>
      </c>
      <c r="Q40" s="109"/>
      <c r="R40" s="44">
        <f t="shared" si="1"/>
        <v>0</v>
      </c>
      <c r="S40" s="109"/>
      <c r="T40" s="44">
        <f t="shared" si="2"/>
        <v>0</v>
      </c>
      <c r="U40" s="109">
        <v>1</v>
      </c>
      <c r="V40" s="44">
        <f t="shared" si="3"/>
        <v>1</v>
      </c>
      <c r="W40" s="109"/>
      <c r="X40" s="44">
        <f t="shared" si="4"/>
        <v>0</v>
      </c>
      <c r="Y40" s="109"/>
      <c r="Z40" s="44">
        <f t="shared" si="5"/>
        <v>0</v>
      </c>
      <c r="AA40" s="109">
        <v>1</v>
      </c>
      <c r="AB40" s="44">
        <f t="shared" si="6"/>
        <v>1</v>
      </c>
      <c r="AC40" s="109"/>
      <c r="AD40" s="44">
        <f t="shared" si="7"/>
        <v>0</v>
      </c>
      <c r="AE40" s="109"/>
      <c r="AF40" s="44">
        <f t="shared" si="8"/>
        <v>0</v>
      </c>
      <c r="AG40" s="109">
        <v>1</v>
      </c>
      <c r="AH40" s="44">
        <f t="shared" si="9"/>
        <v>1</v>
      </c>
      <c r="AI40" s="109"/>
      <c r="AJ40" s="44">
        <f t="shared" si="10"/>
        <v>0</v>
      </c>
      <c r="AK40" s="109"/>
      <c r="AL40" s="44">
        <f t="shared" si="11"/>
        <v>0</v>
      </c>
      <c r="AM40" s="64">
        <f t="shared" si="12"/>
        <v>4</v>
      </c>
      <c r="AN40" s="65"/>
      <c r="AO40" s="29"/>
    </row>
    <row r="41" spans="1:41">
      <c r="A41" s="106">
        <v>1</v>
      </c>
      <c r="B41" s="110" t="s">
        <v>125</v>
      </c>
      <c r="C41" s="110" t="s">
        <v>943</v>
      </c>
      <c r="D41" s="111" t="s">
        <v>944</v>
      </c>
      <c r="E41" s="107" t="s">
        <v>945</v>
      </c>
      <c r="F41" s="107"/>
      <c r="G41" s="107"/>
      <c r="H41" s="106" t="s">
        <v>952</v>
      </c>
      <c r="I41" s="110" t="s">
        <v>892</v>
      </c>
      <c r="J41" s="106"/>
      <c r="K41" s="107"/>
      <c r="L41" s="107"/>
      <c r="M41" s="107"/>
      <c r="N41" s="112"/>
      <c r="O41" s="109">
        <v>0.25</v>
      </c>
      <c r="P41" s="44">
        <f t="shared" si="0"/>
        <v>0.25</v>
      </c>
      <c r="Q41" s="109"/>
      <c r="R41" s="44">
        <f t="shared" si="1"/>
        <v>0</v>
      </c>
      <c r="S41" s="109"/>
      <c r="T41" s="44">
        <f t="shared" si="2"/>
        <v>0</v>
      </c>
      <c r="U41" s="109">
        <v>0.25</v>
      </c>
      <c r="V41" s="44">
        <f t="shared" si="3"/>
        <v>0.25</v>
      </c>
      <c r="W41" s="109"/>
      <c r="X41" s="44">
        <f t="shared" si="4"/>
        <v>0</v>
      </c>
      <c r="Y41" s="109"/>
      <c r="Z41" s="44">
        <f t="shared" si="5"/>
        <v>0</v>
      </c>
      <c r="AA41" s="109">
        <v>0.25</v>
      </c>
      <c r="AB41" s="44">
        <f t="shared" si="6"/>
        <v>0.25</v>
      </c>
      <c r="AC41" s="109"/>
      <c r="AD41" s="44">
        <f t="shared" si="7"/>
        <v>0</v>
      </c>
      <c r="AE41" s="109"/>
      <c r="AF41" s="44">
        <f t="shared" si="8"/>
        <v>0</v>
      </c>
      <c r="AG41" s="109">
        <v>0.25</v>
      </c>
      <c r="AH41" s="44">
        <f t="shared" si="9"/>
        <v>0.25</v>
      </c>
      <c r="AI41" s="109"/>
      <c r="AJ41" s="44">
        <f t="shared" si="10"/>
        <v>0</v>
      </c>
      <c r="AK41" s="109"/>
      <c r="AL41" s="44">
        <f t="shared" si="11"/>
        <v>0</v>
      </c>
      <c r="AM41" s="64">
        <f t="shared" si="12"/>
        <v>1</v>
      </c>
      <c r="AN41" s="65"/>
      <c r="AO41" s="29"/>
    </row>
    <row r="42" spans="1:41">
      <c r="A42" s="106">
        <v>1</v>
      </c>
      <c r="B42" s="110" t="s">
        <v>125</v>
      </c>
      <c r="C42" s="110" t="s">
        <v>943</v>
      </c>
      <c r="D42" s="111" t="s">
        <v>944</v>
      </c>
      <c r="E42" s="107" t="s">
        <v>946</v>
      </c>
      <c r="F42" s="107"/>
      <c r="G42" s="107"/>
      <c r="H42" s="106" t="s">
        <v>953</v>
      </c>
      <c r="I42" s="110" t="s">
        <v>892</v>
      </c>
      <c r="J42" s="106"/>
      <c r="K42" s="107"/>
      <c r="L42" s="107"/>
      <c r="M42" s="107"/>
      <c r="N42" s="112"/>
      <c r="O42" s="109">
        <v>0.25</v>
      </c>
      <c r="P42" s="44">
        <f t="shared" si="0"/>
        <v>0.25</v>
      </c>
      <c r="Q42" s="109"/>
      <c r="R42" s="44">
        <f t="shared" si="1"/>
        <v>0</v>
      </c>
      <c r="S42" s="109"/>
      <c r="T42" s="44">
        <f t="shared" si="2"/>
        <v>0</v>
      </c>
      <c r="U42" s="109">
        <v>0.25</v>
      </c>
      <c r="V42" s="44">
        <f t="shared" si="3"/>
        <v>0.25</v>
      </c>
      <c r="W42" s="109"/>
      <c r="X42" s="44">
        <f t="shared" si="4"/>
        <v>0</v>
      </c>
      <c r="Y42" s="109"/>
      <c r="Z42" s="44">
        <f t="shared" si="5"/>
        <v>0</v>
      </c>
      <c r="AA42" s="109">
        <v>0.25</v>
      </c>
      <c r="AB42" s="44">
        <f t="shared" si="6"/>
        <v>0.25</v>
      </c>
      <c r="AC42" s="109"/>
      <c r="AD42" s="44">
        <f t="shared" si="7"/>
        <v>0</v>
      </c>
      <c r="AE42" s="109"/>
      <c r="AF42" s="44">
        <f t="shared" si="8"/>
        <v>0</v>
      </c>
      <c r="AG42" s="109">
        <v>0.25</v>
      </c>
      <c r="AH42" s="44">
        <f t="shared" si="9"/>
        <v>0.25</v>
      </c>
      <c r="AI42" s="109"/>
      <c r="AJ42" s="44">
        <f t="shared" si="10"/>
        <v>0</v>
      </c>
      <c r="AK42" s="109"/>
      <c r="AL42" s="44">
        <f t="shared" si="11"/>
        <v>0</v>
      </c>
      <c r="AM42" s="64">
        <f t="shared" si="12"/>
        <v>1</v>
      </c>
      <c r="AN42" s="65"/>
      <c r="AO42" s="29"/>
    </row>
    <row r="43" spans="1:41">
      <c r="A43" s="106">
        <v>1</v>
      </c>
      <c r="B43" s="110" t="s">
        <v>125</v>
      </c>
      <c r="C43" s="110" t="s">
        <v>943</v>
      </c>
      <c r="D43" s="111" t="s">
        <v>947</v>
      </c>
      <c r="E43" s="107" t="s">
        <v>948</v>
      </c>
      <c r="F43" s="107"/>
      <c r="G43" s="107"/>
      <c r="H43" s="106" t="s">
        <v>954</v>
      </c>
      <c r="I43" s="110" t="s">
        <v>892</v>
      </c>
      <c r="J43" s="106"/>
      <c r="K43" s="107"/>
      <c r="L43" s="107"/>
      <c r="M43" s="107"/>
      <c r="N43" s="112"/>
      <c r="O43" s="109">
        <v>0.25</v>
      </c>
      <c r="P43" s="44">
        <f t="shared" si="0"/>
        <v>0.25</v>
      </c>
      <c r="Q43" s="109"/>
      <c r="R43" s="44">
        <f t="shared" si="1"/>
        <v>0</v>
      </c>
      <c r="S43" s="109"/>
      <c r="T43" s="44">
        <f t="shared" si="2"/>
        <v>0</v>
      </c>
      <c r="U43" s="109">
        <v>0.25</v>
      </c>
      <c r="V43" s="44">
        <f t="shared" si="3"/>
        <v>0.25</v>
      </c>
      <c r="W43" s="109"/>
      <c r="X43" s="44">
        <f t="shared" si="4"/>
        <v>0</v>
      </c>
      <c r="Y43" s="109"/>
      <c r="Z43" s="44">
        <f t="shared" si="5"/>
        <v>0</v>
      </c>
      <c r="AA43" s="109">
        <v>0.25</v>
      </c>
      <c r="AB43" s="44">
        <f t="shared" si="6"/>
        <v>0.25</v>
      </c>
      <c r="AC43" s="109"/>
      <c r="AD43" s="44">
        <f t="shared" si="7"/>
        <v>0</v>
      </c>
      <c r="AE43" s="109"/>
      <c r="AF43" s="44">
        <f t="shared" si="8"/>
        <v>0</v>
      </c>
      <c r="AG43" s="109">
        <v>0.25</v>
      </c>
      <c r="AH43" s="44">
        <f t="shared" si="9"/>
        <v>0.25</v>
      </c>
      <c r="AI43" s="109"/>
      <c r="AJ43" s="44">
        <f t="shared" si="10"/>
        <v>0</v>
      </c>
      <c r="AK43" s="109"/>
      <c r="AL43" s="44">
        <f t="shared" si="11"/>
        <v>0</v>
      </c>
      <c r="AM43" s="64">
        <f t="shared" si="12"/>
        <v>1</v>
      </c>
      <c r="AN43" s="65"/>
      <c r="AO43" s="29"/>
    </row>
    <row r="44" spans="1:41">
      <c r="A44" s="106">
        <v>1</v>
      </c>
      <c r="B44" s="110" t="s">
        <v>125</v>
      </c>
      <c r="C44" s="110" t="s">
        <v>943</v>
      </c>
      <c r="D44" s="111" t="s">
        <v>947</v>
      </c>
      <c r="E44" s="107" t="s">
        <v>949</v>
      </c>
      <c r="F44" s="107"/>
      <c r="G44" s="107"/>
      <c r="H44" s="106" t="s">
        <v>955</v>
      </c>
      <c r="I44" s="110" t="s">
        <v>892</v>
      </c>
      <c r="J44" s="106"/>
      <c r="K44" s="107"/>
      <c r="L44" s="107"/>
      <c r="M44" s="107"/>
      <c r="N44" s="112"/>
      <c r="O44" s="109">
        <v>0.25</v>
      </c>
      <c r="P44" s="44">
        <f t="shared" si="0"/>
        <v>0.25</v>
      </c>
      <c r="Q44" s="109"/>
      <c r="R44" s="44">
        <f t="shared" si="1"/>
        <v>0</v>
      </c>
      <c r="S44" s="109"/>
      <c r="T44" s="44">
        <f t="shared" si="2"/>
        <v>0</v>
      </c>
      <c r="U44" s="109">
        <v>0.25</v>
      </c>
      <c r="V44" s="44">
        <f t="shared" si="3"/>
        <v>0.25</v>
      </c>
      <c r="W44" s="109"/>
      <c r="X44" s="44">
        <f t="shared" si="4"/>
        <v>0</v>
      </c>
      <c r="Y44" s="109"/>
      <c r="Z44" s="44">
        <f t="shared" si="5"/>
        <v>0</v>
      </c>
      <c r="AA44" s="109">
        <v>0.25</v>
      </c>
      <c r="AB44" s="44">
        <f t="shared" si="6"/>
        <v>0.25</v>
      </c>
      <c r="AC44" s="109"/>
      <c r="AD44" s="44">
        <f t="shared" si="7"/>
        <v>0</v>
      </c>
      <c r="AE44" s="109"/>
      <c r="AF44" s="44">
        <f t="shared" si="8"/>
        <v>0</v>
      </c>
      <c r="AG44" s="109">
        <v>0.25</v>
      </c>
      <c r="AH44" s="44">
        <f t="shared" si="9"/>
        <v>0.25</v>
      </c>
      <c r="AI44" s="109"/>
      <c r="AJ44" s="44">
        <f t="shared" si="10"/>
        <v>0</v>
      </c>
      <c r="AK44" s="109"/>
      <c r="AL44" s="44">
        <f t="shared" si="11"/>
        <v>0</v>
      </c>
      <c r="AM44" s="64">
        <f t="shared" si="12"/>
        <v>1</v>
      </c>
      <c r="AN44" s="65"/>
      <c r="AO44" s="29"/>
    </row>
    <row r="45" spans="1:41">
      <c r="A45" s="106">
        <v>1</v>
      </c>
      <c r="B45" s="110" t="s">
        <v>125</v>
      </c>
      <c r="C45" s="110" t="s">
        <v>943</v>
      </c>
      <c r="D45" s="111" t="s">
        <v>950</v>
      </c>
      <c r="E45" s="107" t="s">
        <v>951</v>
      </c>
      <c r="F45" s="107"/>
      <c r="G45" s="107"/>
      <c r="H45" s="106" t="s">
        <v>956</v>
      </c>
      <c r="I45" s="110" t="s">
        <v>892</v>
      </c>
      <c r="J45" s="106"/>
      <c r="K45" s="107"/>
      <c r="L45" s="107"/>
      <c r="M45" s="107"/>
      <c r="N45" s="112"/>
      <c r="O45" s="109">
        <v>0.25</v>
      </c>
      <c r="P45" s="44">
        <f t="shared" si="0"/>
        <v>0.25</v>
      </c>
      <c r="Q45" s="109"/>
      <c r="R45" s="44">
        <f t="shared" si="1"/>
        <v>0</v>
      </c>
      <c r="S45" s="109"/>
      <c r="T45" s="44">
        <f t="shared" si="2"/>
        <v>0</v>
      </c>
      <c r="U45" s="109">
        <v>0.25</v>
      </c>
      <c r="V45" s="44">
        <f t="shared" si="3"/>
        <v>0.25</v>
      </c>
      <c r="W45" s="109"/>
      <c r="X45" s="44">
        <f t="shared" si="4"/>
        <v>0</v>
      </c>
      <c r="Y45" s="109"/>
      <c r="Z45" s="44">
        <f t="shared" si="5"/>
        <v>0</v>
      </c>
      <c r="AA45" s="109">
        <v>0.25</v>
      </c>
      <c r="AB45" s="44">
        <f t="shared" si="6"/>
        <v>0.25</v>
      </c>
      <c r="AC45" s="109"/>
      <c r="AD45" s="44">
        <f t="shared" si="7"/>
        <v>0</v>
      </c>
      <c r="AE45" s="109"/>
      <c r="AF45" s="44">
        <f t="shared" si="8"/>
        <v>0</v>
      </c>
      <c r="AG45" s="109">
        <v>0.25</v>
      </c>
      <c r="AH45" s="44">
        <f t="shared" si="9"/>
        <v>0.25</v>
      </c>
      <c r="AI45" s="109"/>
      <c r="AJ45" s="44">
        <f t="shared" si="10"/>
        <v>0</v>
      </c>
      <c r="AK45" s="109"/>
      <c r="AL45" s="44">
        <f t="shared" si="11"/>
        <v>0</v>
      </c>
      <c r="AM45" s="64">
        <f t="shared" si="12"/>
        <v>1</v>
      </c>
      <c r="AN45" s="65"/>
      <c r="AO45" s="29"/>
    </row>
    <row r="46" spans="1:41">
      <c r="A46" s="106">
        <v>1</v>
      </c>
      <c r="B46" s="110" t="s">
        <v>120</v>
      </c>
      <c r="C46" s="110" t="s">
        <v>893</v>
      </c>
      <c r="D46" s="111" t="s">
        <v>894</v>
      </c>
      <c r="E46" s="107" t="s">
        <v>895</v>
      </c>
      <c r="F46" s="107"/>
      <c r="G46" s="107"/>
      <c r="H46" s="106" t="s">
        <v>896</v>
      </c>
      <c r="I46" s="110" t="s">
        <v>897</v>
      </c>
      <c r="J46" s="106"/>
      <c r="K46" s="107"/>
      <c r="L46" s="107"/>
      <c r="M46" s="107"/>
      <c r="N46" s="112"/>
      <c r="O46" s="109">
        <v>2</v>
      </c>
      <c r="P46" s="44">
        <f t="shared" si="0"/>
        <v>2</v>
      </c>
      <c r="Q46" s="109"/>
      <c r="R46" s="44">
        <f t="shared" si="1"/>
        <v>0</v>
      </c>
      <c r="S46" s="109"/>
      <c r="T46" s="44">
        <f t="shared" si="2"/>
        <v>0</v>
      </c>
      <c r="U46" s="109"/>
      <c r="V46" s="44">
        <f t="shared" si="3"/>
        <v>0</v>
      </c>
      <c r="W46" s="109"/>
      <c r="X46" s="44">
        <f t="shared" si="4"/>
        <v>0</v>
      </c>
      <c r="Y46" s="109"/>
      <c r="Z46" s="44">
        <f t="shared" si="5"/>
        <v>0</v>
      </c>
      <c r="AA46" s="109"/>
      <c r="AB46" s="44">
        <f t="shared" si="6"/>
        <v>0</v>
      </c>
      <c r="AC46" s="109"/>
      <c r="AD46" s="44">
        <f t="shared" si="7"/>
        <v>0</v>
      </c>
      <c r="AE46" s="109"/>
      <c r="AF46" s="44">
        <f t="shared" si="8"/>
        <v>0</v>
      </c>
      <c r="AG46" s="109">
        <v>4</v>
      </c>
      <c r="AH46" s="44">
        <f t="shared" si="9"/>
        <v>4</v>
      </c>
      <c r="AI46" s="109"/>
      <c r="AJ46" s="44">
        <f t="shared" si="10"/>
        <v>0</v>
      </c>
      <c r="AK46" s="109"/>
      <c r="AL46" s="44">
        <f t="shared" si="11"/>
        <v>0</v>
      </c>
      <c r="AM46" s="64">
        <f t="shared" si="12"/>
        <v>6</v>
      </c>
      <c r="AN46" s="65"/>
      <c r="AO46" s="29"/>
    </row>
    <row r="47" spans="1:41">
      <c r="A47" s="106">
        <v>1</v>
      </c>
      <c r="B47" s="110" t="s">
        <v>120</v>
      </c>
      <c r="C47" s="110" t="s">
        <v>893</v>
      </c>
      <c r="D47" s="111" t="s">
        <v>894</v>
      </c>
      <c r="E47" s="107" t="s">
        <v>898</v>
      </c>
      <c r="F47" s="107"/>
      <c r="G47" s="107"/>
      <c r="H47" s="106" t="s">
        <v>899</v>
      </c>
      <c r="I47" s="110" t="s">
        <v>897</v>
      </c>
      <c r="J47" s="106"/>
      <c r="K47" s="107"/>
      <c r="L47" s="107"/>
      <c r="M47" s="107"/>
      <c r="N47" s="112"/>
      <c r="O47" s="109">
        <v>2</v>
      </c>
      <c r="P47" s="44">
        <f t="shared" si="0"/>
        <v>2</v>
      </c>
      <c r="Q47" s="109"/>
      <c r="R47" s="44">
        <f t="shared" si="1"/>
        <v>0</v>
      </c>
      <c r="S47" s="109"/>
      <c r="T47" s="44">
        <f t="shared" si="2"/>
        <v>0</v>
      </c>
      <c r="U47" s="109"/>
      <c r="V47" s="44">
        <f t="shared" si="3"/>
        <v>0</v>
      </c>
      <c r="W47" s="109"/>
      <c r="X47" s="44">
        <f t="shared" si="4"/>
        <v>0</v>
      </c>
      <c r="Y47" s="109"/>
      <c r="Z47" s="44">
        <f t="shared" si="5"/>
        <v>0</v>
      </c>
      <c r="AA47" s="109"/>
      <c r="AB47" s="44">
        <f t="shared" si="6"/>
        <v>0</v>
      </c>
      <c r="AC47" s="109"/>
      <c r="AD47" s="44">
        <f t="shared" si="7"/>
        <v>0</v>
      </c>
      <c r="AE47" s="109"/>
      <c r="AF47" s="44">
        <f t="shared" si="8"/>
        <v>0</v>
      </c>
      <c r="AG47" s="109">
        <v>4</v>
      </c>
      <c r="AH47" s="44">
        <f t="shared" si="9"/>
        <v>4</v>
      </c>
      <c r="AI47" s="109"/>
      <c r="AJ47" s="44">
        <f t="shared" si="10"/>
        <v>0</v>
      </c>
      <c r="AK47" s="109"/>
      <c r="AL47" s="44">
        <f t="shared" si="11"/>
        <v>0</v>
      </c>
      <c r="AM47" s="64">
        <f t="shared" si="12"/>
        <v>6</v>
      </c>
      <c r="AN47" s="65"/>
      <c r="AO47" s="29"/>
    </row>
    <row r="48" spans="1:41">
      <c r="A48" s="106">
        <v>1</v>
      </c>
      <c r="B48" s="110" t="s">
        <v>131</v>
      </c>
      <c r="C48" s="110" t="s">
        <v>900</v>
      </c>
      <c r="D48" s="111"/>
      <c r="E48" s="107"/>
      <c r="F48" s="107"/>
      <c r="G48" s="107"/>
      <c r="H48" s="106" t="s">
        <v>901</v>
      </c>
      <c r="I48" s="110" t="s">
        <v>902</v>
      </c>
      <c r="J48" s="106"/>
      <c r="K48" s="107"/>
      <c r="L48" s="107"/>
      <c r="M48" s="107"/>
      <c r="N48" s="112"/>
      <c r="O48" s="109"/>
      <c r="P48" s="44">
        <f t="shared" si="0"/>
        <v>0</v>
      </c>
      <c r="Q48" s="109"/>
      <c r="R48" s="44">
        <f t="shared" si="1"/>
        <v>0</v>
      </c>
      <c r="S48" s="109"/>
      <c r="T48" s="44">
        <f t="shared" si="2"/>
        <v>0</v>
      </c>
      <c r="U48" s="109">
        <v>0.25</v>
      </c>
      <c r="V48" s="44">
        <f t="shared" si="3"/>
        <v>0.25</v>
      </c>
      <c r="W48" s="109"/>
      <c r="X48" s="44">
        <f t="shared" si="4"/>
        <v>0</v>
      </c>
      <c r="Y48" s="109"/>
      <c r="Z48" s="44">
        <f t="shared" si="5"/>
        <v>0</v>
      </c>
      <c r="AA48" s="109"/>
      <c r="AB48" s="44">
        <f t="shared" si="6"/>
        <v>0</v>
      </c>
      <c r="AC48" s="109"/>
      <c r="AD48" s="44">
        <f t="shared" si="7"/>
        <v>0</v>
      </c>
      <c r="AE48" s="109"/>
      <c r="AF48" s="44">
        <f t="shared" si="8"/>
        <v>0</v>
      </c>
      <c r="AG48" s="109">
        <v>0.25</v>
      </c>
      <c r="AH48" s="44">
        <f t="shared" si="9"/>
        <v>0.25</v>
      </c>
      <c r="AI48" s="109"/>
      <c r="AJ48" s="44">
        <f t="shared" si="10"/>
        <v>0</v>
      </c>
      <c r="AK48" s="109"/>
      <c r="AL48" s="44">
        <f t="shared" si="11"/>
        <v>0</v>
      </c>
      <c r="AM48" s="64">
        <f t="shared" si="12"/>
        <v>0.5</v>
      </c>
      <c r="AN48" s="65"/>
      <c r="AO48" s="29"/>
    </row>
    <row r="49" spans="1:41">
      <c r="A49" s="106">
        <v>1</v>
      </c>
      <c r="B49" s="110" t="s">
        <v>131</v>
      </c>
      <c r="C49" s="110" t="s">
        <v>900</v>
      </c>
      <c r="D49" s="111"/>
      <c r="E49" s="107"/>
      <c r="F49" s="107"/>
      <c r="G49" s="107"/>
      <c r="H49" s="106" t="s">
        <v>903</v>
      </c>
      <c r="I49" s="110" t="s">
        <v>902</v>
      </c>
      <c r="J49" s="106"/>
      <c r="K49" s="107"/>
      <c r="L49" s="107"/>
      <c r="M49" s="107"/>
      <c r="N49" s="112"/>
      <c r="O49" s="109"/>
      <c r="P49" s="44">
        <f t="shared" si="0"/>
        <v>0</v>
      </c>
      <c r="Q49" s="109"/>
      <c r="R49" s="44">
        <f t="shared" si="1"/>
        <v>0</v>
      </c>
      <c r="S49" s="109"/>
      <c r="T49" s="44">
        <f t="shared" si="2"/>
        <v>0</v>
      </c>
      <c r="U49" s="109">
        <v>0.25</v>
      </c>
      <c r="V49" s="44">
        <f t="shared" si="3"/>
        <v>0.25</v>
      </c>
      <c r="W49" s="109"/>
      <c r="X49" s="44">
        <f t="shared" si="4"/>
        <v>0</v>
      </c>
      <c r="Y49" s="109"/>
      <c r="Z49" s="44">
        <f t="shared" si="5"/>
        <v>0</v>
      </c>
      <c r="AA49" s="109"/>
      <c r="AB49" s="44">
        <f t="shared" si="6"/>
        <v>0</v>
      </c>
      <c r="AC49" s="109"/>
      <c r="AD49" s="44">
        <f t="shared" si="7"/>
        <v>0</v>
      </c>
      <c r="AE49" s="109"/>
      <c r="AF49" s="44">
        <f t="shared" si="8"/>
        <v>0</v>
      </c>
      <c r="AG49" s="109">
        <v>0.25</v>
      </c>
      <c r="AH49" s="44">
        <f t="shared" si="9"/>
        <v>0.25</v>
      </c>
      <c r="AI49" s="109"/>
      <c r="AJ49" s="44">
        <f t="shared" si="10"/>
        <v>0</v>
      </c>
      <c r="AK49" s="109"/>
      <c r="AL49" s="44">
        <f t="shared" si="11"/>
        <v>0</v>
      </c>
      <c r="AM49" s="64">
        <f t="shared" si="12"/>
        <v>0.5</v>
      </c>
      <c r="AN49" s="65"/>
      <c r="AO49" s="29"/>
    </row>
    <row r="50" spans="1:41">
      <c r="A50" s="106">
        <v>1</v>
      </c>
      <c r="B50" s="110" t="s">
        <v>120</v>
      </c>
      <c r="C50" s="110" t="s">
        <v>904</v>
      </c>
      <c r="D50" s="111" t="s">
        <v>905</v>
      </c>
      <c r="E50" s="107"/>
      <c r="F50" s="107"/>
      <c r="G50" s="107"/>
      <c r="H50" s="106" t="s">
        <v>906</v>
      </c>
      <c r="I50" s="110" t="s">
        <v>849</v>
      </c>
      <c r="J50" s="106"/>
      <c r="K50" s="107"/>
      <c r="L50" s="107"/>
      <c r="M50" s="107"/>
      <c r="N50" s="112"/>
      <c r="O50" s="109">
        <v>2</v>
      </c>
      <c r="P50" s="44">
        <f t="shared" si="0"/>
        <v>2</v>
      </c>
      <c r="Q50" s="109"/>
      <c r="R50" s="44">
        <f t="shared" si="1"/>
        <v>0</v>
      </c>
      <c r="S50" s="109"/>
      <c r="T50" s="44">
        <f t="shared" si="2"/>
        <v>0</v>
      </c>
      <c r="U50" s="109"/>
      <c r="V50" s="44">
        <f t="shared" si="3"/>
        <v>0</v>
      </c>
      <c r="W50" s="109"/>
      <c r="X50" s="44">
        <f t="shared" si="4"/>
        <v>0</v>
      </c>
      <c r="Y50" s="109"/>
      <c r="Z50" s="44">
        <f t="shared" si="5"/>
        <v>0</v>
      </c>
      <c r="AA50" s="109"/>
      <c r="AB50" s="44">
        <f t="shared" si="6"/>
        <v>0</v>
      </c>
      <c r="AC50" s="109"/>
      <c r="AD50" s="44">
        <f t="shared" si="7"/>
        <v>0</v>
      </c>
      <c r="AE50" s="109"/>
      <c r="AF50" s="44">
        <f t="shared" si="8"/>
        <v>0</v>
      </c>
      <c r="AG50" s="109">
        <v>4</v>
      </c>
      <c r="AH50" s="44">
        <f t="shared" si="9"/>
        <v>4</v>
      </c>
      <c r="AI50" s="109"/>
      <c r="AJ50" s="44">
        <f t="shared" si="10"/>
        <v>0</v>
      </c>
      <c r="AK50" s="109"/>
      <c r="AL50" s="44">
        <f t="shared" si="11"/>
        <v>0</v>
      </c>
      <c r="AM50" s="64">
        <f t="shared" si="12"/>
        <v>6</v>
      </c>
      <c r="AN50" s="65"/>
      <c r="AO50" s="29"/>
    </row>
    <row r="51" spans="1:41">
      <c r="A51" s="106">
        <v>1</v>
      </c>
      <c r="B51" s="110" t="s">
        <v>120</v>
      </c>
      <c r="C51" s="110" t="s">
        <v>904</v>
      </c>
      <c r="D51" s="111" t="s">
        <v>905</v>
      </c>
      <c r="E51" s="107"/>
      <c r="F51" s="107"/>
      <c r="G51" s="107"/>
      <c r="H51" s="106" t="s">
        <v>907</v>
      </c>
      <c r="I51" s="110" t="s">
        <v>849</v>
      </c>
      <c r="J51" s="106"/>
      <c r="K51" s="107"/>
      <c r="L51" s="107"/>
      <c r="M51" s="107"/>
      <c r="N51" s="112"/>
      <c r="O51" s="109">
        <v>2</v>
      </c>
      <c r="P51" s="44">
        <f t="shared" si="0"/>
        <v>2</v>
      </c>
      <c r="Q51" s="109"/>
      <c r="R51" s="44">
        <f t="shared" si="1"/>
        <v>0</v>
      </c>
      <c r="S51" s="109"/>
      <c r="T51" s="44">
        <f t="shared" si="2"/>
        <v>0</v>
      </c>
      <c r="U51" s="109"/>
      <c r="V51" s="44">
        <f t="shared" si="3"/>
        <v>0</v>
      </c>
      <c r="W51" s="109"/>
      <c r="X51" s="44">
        <f t="shared" si="4"/>
        <v>0</v>
      </c>
      <c r="Y51" s="109"/>
      <c r="Z51" s="44">
        <f t="shared" si="5"/>
        <v>0</v>
      </c>
      <c r="AA51" s="109"/>
      <c r="AB51" s="44">
        <f t="shared" si="6"/>
        <v>0</v>
      </c>
      <c r="AC51" s="109"/>
      <c r="AD51" s="44">
        <f t="shared" si="7"/>
        <v>0</v>
      </c>
      <c r="AE51" s="109"/>
      <c r="AF51" s="44">
        <f t="shared" si="8"/>
        <v>0</v>
      </c>
      <c r="AG51" s="109">
        <v>4</v>
      </c>
      <c r="AH51" s="44">
        <f t="shared" si="9"/>
        <v>4</v>
      </c>
      <c r="AI51" s="109"/>
      <c r="AJ51" s="44">
        <f t="shared" si="10"/>
        <v>0</v>
      </c>
      <c r="AK51" s="109"/>
      <c r="AL51" s="44">
        <f t="shared" si="11"/>
        <v>0</v>
      </c>
      <c r="AM51" s="64">
        <f t="shared" si="12"/>
        <v>6</v>
      </c>
      <c r="AN51" s="65"/>
      <c r="AO51" s="29"/>
    </row>
    <row r="52" spans="1:41">
      <c r="A52" s="106">
        <v>1</v>
      </c>
      <c r="B52" s="110" t="s">
        <v>131</v>
      </c>
      <c r="C52" s="110" t="s">
        <v>908</v>
      </c>
      <c r="D52" s="111" t="s">
        <v>909</v>
      </c>
      <c r="E52" s="107"/>
      <c r="F52" s="107"/>
      <c r="G52" s="107"/>
      <c r="H52" s="106" t="s">
        <v>910</v>
      </c>
      <c r="I52" s="110" t="s">
        <v>849</v>
      </c>
      <c r="J52" s="106"/>
      <c r="K52" s="107"/>
      <c r="L52" s="107"/>
      <c r="M52" s="107"/>
      <c r="N52" s="112"/>
      <c r="O52" s="109"/>
      <c r="P52" s="44">
        <f t="shared" si="0"/>
        <v>0</v>
      </c>
      <c r="Q52" s="109"/>
      <c r="R52" s="44">
        <f t="shared" si="1"/>
        <v>0</v>
      </c>
      <c r="S52" s="109"/>
      <c r="T52" s="44">
        <f t="shared" si="2"/>
        <v>0</v>
      </c>
      <c r="U52" s="109">
        <v>0.25</v>
      </c>
      <c r="V52" s="44">
        <f t="shared" si="3"/>
        <v>0.25</v>
      </c>
      <c r="W52" s="109"/>
      <c r="X52" s="44">
        <f t="shared" si="4"/>
        <v>0</v>
      </c>
      <c r="Y52" s="109"/>
      <c r="Z52" s="44">
        <f t="shared" si="5"/>
        <v>0</v>
      </c>
      <c r="AA52" s="109"/>
      <c r="AB52" s="44">
        <f t="shared" si="6"/>
        <v>0</v>
      </c>
      <c r="AC52" s="109"/>
      <c r="AD52" s="44">
        <f t="shared" si="7"/>
        <v>0</v>
      </c>
      <c r="AE52" s="109"/>
      <c r="AF52" s="44">
        <f t="shared" si="8"/>
        <v>0</v>
      </c>
      <c r="AG52" s="109">
        <v>0.25</v>
      </c>
      <c r="AH52" s="44">
        <f t="shared" si="9"/>
        <v>0.25</v>
      </c>
      <c r="AI52" s="109"/>
      <c r="AJ52" s="44">
        <f t="shared" si="10"/>
        <v>0</v>
      </c>
      <c r="AK52" s="109"/>
      <c r="AL52" s="44">
        <f t="shared" si="11"/>
        <v>0</v>
      </c>
      <c r="AM52" s="64">
        <f t="shared" si="12"/>
        <v>0.5</v>
      </c>
      <c r="AN52" s="65"/>
      <c r="AO52" s="29"/>
    </row>
    <row r="53" spans="1:41">
      <c r="A53" s="106">
        <v>1</v>
      </c>
      <c r="B53" s="110" t="s">
        <v>131</v>
      </c>
      <c r="C53" s="110" t="s">
        <v>908</v>
      </c>
      <c r="D53" s="111" t="s">
        <v>909</v>
      </c>
      <c r="E53" s="107"/>
      <c r="F53" s="107"/>
      <c r="G53" s="107"/>
      <c r="H53" s="106" t="s">
        <v>911</v>
      </c>
      <c r="I53" s="110" t="s">
        <v>849</v>
      </c>
      <c r="J53" s="106"/>
      <c r="K53" s="107"/>
      <c r="L53" s="107"/>
      <c r="M53" s="107"/>
      <c r="N53" s="112"/>
      <c r="O53" s="109"/>
      <c r="P53" s="44">
        <f t="shared" si="0"/>
        <v>0</v>
      </c>
      <c r="Q53" s="109"/>
      <c r="R53" s="44">
        <f t="shared" si="1"/>
        <v>0</v>
      </c>
      <c r="S53" s="109"/>
      <c r="T53" s="44">
        <f t="shared" si="2"/>
        <v>0</v>
      </c>
      <c r="U53" s="109">
        <v>0.25</v>
      </c>
      <c r="V53" s="44">
        <f t="shared" si="3"/>
        <v>0.25</v>
      </c>
      <c r="W53" s="109"/>
      <c r="X53" s="44">
        <f t="shared" si="4"/>
        <v>0</v>
      </c>
      <c r="Y53" s="109"/>
      <c r="Z53" s="44">
        <f t="shared" si="5"/>
        <v>0</v>
      </c>
      <c r="AA53" s="109"/>
      <c r="AB53" s="44">
        <f t="shared" si="6"/>
        <v>0</v>
      </c>
      <c r="AC53" s="109"/>
      <c r="AD53" s="44">
        <f t="shared" si="7"/>
        <v>0</v>
      </c>
      <c r="AE53" s="109"/>
      <c r="AF53" s="44">
        <f t="shared" si="8"/>
        <v>0</v>
      </c>
      <c r="AG53" s="109">
        <v>0.25</v>
      </c>
      <c r="AH53" s="44">
        <f t="shared" si="9"/>
        <v>0.25</v>
      </c>
      <c r="AI53" s="109"/>
      <c r="AJ53" s="44">
        <f t="shared" si="10"/>
        <v>0</v>
      </c>
      <c r="AK53" s="109"/>
      <c r="AL53" s="44">
        <f t="shared" si="11"/>
        <v>0</v>
      </c>
      <c r="AM53" s="64">
        <f t="shared" si="12"/>
        <v>0.5</v>
      </c>
      <c r="AN53" s="65"/>
      <c r="AO53" s="29"/>
    </row>
    <row r="54" spans="1:41">
      <c r="A54" s="106">
        <v>1</v>
      </c>
      <c r="B54" s="110" t="s">
        <v>131</v>
      </c>
      <c r="C54" s="110" t="s">
        <v>912</v>
      </c>
      <c r="D54" s="111" t="s">
        <v>913</v>
      </c>
      <c r="E54" s="107" t="s">
        <v>914</v>
      </c>
      <c r="F54" s="107"/>
      <c r="G54" s="107"/>
      <c r="H54" s="106" t="s">
        <v>915</v>
      </c>
      <c r="I54" s="110" t="s">
        <v>867</v>
      </c>
      <c r="J54" s="106"/>
      <c r="K54" s="107"/>
      <c r="L54" s="107"/>
      <c r="M54" s="105"/>
      <c r="N54" s="108"/>
      <c r="O54" s="109"/>
      <c r="P54" s="44">
        <f t="shared" si="0"/>
        <v>0</v>
      </c>
      <c r="Q54" s="109"/>
      <c r="R54" s="44">
        <f t="shared" si="1"/>
        <v>0</v>
      </c>
      <c r="S54" s="109"/>
      <c r="T54" s="44">
        <f t="shared" si="2"/>
        <v>0</v>
      </c>
      <c r="U54" s="109">
        <v>0.25</v>
      </c>
      <c r="V54" s="44">
        <f t="shared" si="3"/>
        <v>0.25</v>
      </c>
      <c r="W54" s="109"/>
      <c r="X54" s="44">
        <f t="shared" si="4"/>
        <v>0</v>
      </c>
      <c r="Y54" s="109"/>
      <c r="Z54" s="44">
        <f t="shared" si="5"/>
        <v>0</v>
      </c>
      <c r="AA54" s="109"/>
      <c r="AB54" s="44">
        <f t="shared" si="6"/>
        <v>0</v>
      </c>
      <c r="AC54" s="109"/>
      <c r="AD54" s="44">
        <f t="shared" si="7"/>
        <v>0</v>
      </c>
      <c r="AE54" s="109"/>
      <c r="AF54" s="44">
        <f t="shared" si="8"/>
        <v>0</v>
      </c>
      <c r="AG54" s="109">
        <v>0.25</v>
      </c>
      <c r="AH54" s="44">
        <f t="shared" si="9"/>
        <v>0.25</v>
      </c>
      <c r="AI54" s="109"/>
      <c r="AJ54" s="44">
        <f t="shared" si="10"/>
        <v>0</v>
      </c>
      <c r="AK54" s="109"/>
      <c r="AL54" s="44">
        <f t="shared" si="11"/>
        <v>0</v>
      </c>
      <c r="AM54" s="64">
        <f t="shared" si="12"/>
        <v>0.5</v>
      </c>
      <c r="AN54" s="65"/>
      <c r="AO54" s="29"/>
    </row>
    <row r="55" spans="1:41">
      <c r="A55" s="106">
        <v>1</v>
      </c>
      <c r="B55" s="110" t="s">
        <v>131</v>
      </c>
      <c r="C55" s="110" t="s">
        <v>912</v>
      </c>
      <c r="D55" s="111" t="s">
        <v>913</v>
      </c>
      <c r="E55" s="107" t="s">
        <v>914</v>
      </c>
      <c r="F55" s="107"/>
      <c r="G55" s="107"/>
      <c r="H55" s="106" t="s">
        <v>916</v>
      </c>
      <c r="I55" s="110" t="s">
        <v>849</v>
      </c>
      <c r="J55" s="106"/>
      <c r="K55" s="107"/>
      <c r="L55" s="107"/>
      <c r="M55" s="105"/>
      <c r="N55" s="108"/>
      <c r="O55" s="109"/>
      <c r="P55" s="44">
        <f t="shared" si="0"/>
        <v>0</v>
      </c>
      <c r="Q55" s="109"/>
      <c r="R55" s="44">
        <f t="shared" si="1"/>
        <v>0</v>
      </c>
      <c r="S55" s="109"/>
      <c r="T55" s="44">
        <f t="shared" si="2"/>
        <v>0</v>
      </c>
      <c r="U55" s="109">
        <v>0.25</v>
      </c>
      <c r="V55" s="44">
        <f t="shared" si="3"/>
        <v>0.25</v>
      </c>
      <c r="W55" s="109"/>
      <c r="X55" s="44">
        <f t="shared" si="4"/>
        <v>0</v>
      </c>
      <c r="Y55" s="109"/>
      <c r="Z55" s="44">
        <f t="shared" si="5"/>
        <v>0</v>
      </c>
      <c r="AA55" s="109"/>
      <c r="AB55" s="44">
        <f t="shared" si="6"/>
        <v>0</v>
      </c>
      <c r="AC55" s="109"/>
      <c r="AD55" s="44">
        <f t="shared" si="7"/>
        <v>0</v>
      </c>
      <c r="AE55" s="109"/>
      <c r="AF55" s="44">
        <f t="shared" si="8"/>
        <v>0</v>
      </c>
      <c r="AG55" s="109">
        <v>0.25</v>
      </c>
      <c r="AH55" s="44">
        <f t="shared" si="9"/>
        <v>0.25</v>
      </c>
      <c r="AI55" s="109"/>
      <c r="AJ55" s="44">
        <f t="shared" si="10"/>
        <v>0</v>
      </c>
      <c r="AK55" s="109"/>
      <c r="AL55" s="44">
        <f t="shared" si="11"/>
        <v>0</v>
      </c>
      <c r="AM55" s="64">
        <f t="shared" si="12"/>
        <v>0.5</v>
      </c>
      <c r="AN55" s="65"/>
      <c r="AO55" s="29"/>
    </row>
    <row r="56" spans="1:41">
      <c r="A56" s="106">
        <v>1</v>
      </c>
      <c r="B56" s="110" t="s">
        <v>131</v>
      </c>
      <c r="C56" s="110" t="s">
        <v>853</v>
      </c>
      <c r="D56" s="111" t="s">
        <v>917</v>
      </c>
      <c r="E56" s="107" t="s">
        <v>918</v>
      </c>
      <c r="F56" s="107"/>
      <c r="G56" s="107"/>
      <c r="H56" s="106" t="s">
        <v>919</v>
      </c>
      <c r="I56" s="110" t="s">
        <v>849</v>
      </c>
      <c r="J56" s="106"/>
      <c r="K56" s="107"/>
      <c r="L56" s="107"/>
      <c r="M56" s="105"/>
      <c r="N56" s="108"/>
      <c r="O56" s="109"/>
      <c r="P56" s="44">
        <f t="shared" si="0"/>
        <v>0</v>
      </c>
      <c r="Q56" s="109"/>
      <c r="R56" s="44">
        <f t="shared" si="1"/>
        <v>0</v>
      </c>
      <c r="S56" s="109"/>
      <c r="T56" s="44">
        <f t="shared" si="2"/>
        <v>0</v>
      </c>
      <c r="U56" s="109">
        <v>0.25</v>
      </c>
      <c r="V56" s="44">
        <f t="shared" si="3"/>
        <v>0.25</v>
      </c>
      <c r="W56" s="109"/>
      <c r="X56" s="44">
        <f t="shared" si="4"/>
        <v>0</v>
      </c>
      <c r="Y56" s="109"/>
      <c r="Z56" s="44">
        <f t="shared" si="5"/>
        <v>0</v>
      </c>
      <c r="AA56" s="109"/>
      <c r="AB56" s="44">
        <f t="shared" si="6"/>
        <v>0</v>
      </c>
      <c r="AC56" s="109"/>
      <c r="AD56" s="44">
        <f t="shared" si="7"/>
        <v>0</v>
      </c>
      <c r="AE56" s="109"/>
      <c r="AF56" s="44">
        <f t="shared" si="8"/>
        <v>0</v>
      </c>
      <c r="AG56" s="109">
        <v>0.25</v>
      </c>
      <c r="AH56" s="44">
        <f t="shared" si="9"/>
        <v>0.25</v>
      </c>
      <c r="AI56" s="109"/>
      <c r="AJ56" s="44">
        <f t="shared" si="10"/>
        <v>0</v>
      </c>
      <c r="AK56" s="109"/>
      <c r="AL56" s="44">
        <f t="shared" si="11"/>
        <v>0</v>
      </c>
      <c r="AM56" s="64">
        <f t="shared" si="12"/>
        <v>0.5</v>
      </c>
      <c r="AN56" s="65"/>
      <c r="AO56" s="29"/>
    </row>
    <row r="57" spans="1:41">
      <c r="A57" s="106">
        <v>1</v>
      </c>
      <c r="B57" s="110" t="s">
        <v>123</v>
      </c>
      <c r="C57" s="110" t="s">
        <v>920</v>
      </c>
      <c r="D57" s="111" t="s">
        <v>921</v>
      </c>
      <c r="E57" s="107" t="s">
        <v>922</v>
      </c>
      <c r="F57" s="107"/>
      <c r="G57" s="107"/>
      <c r="H57" s="106" t="s">
        <v>923</v>
      </c>
      <c r="I57" s="110" t="s">
        <v>924</v>
      </c>
      <c r="J57" s="106"/>
      <c r="K57" s="107"/>
      <c r="L57" s="107"/>
      <c r="M57" s="105"/>
      <c r="N57" s="108"/>
      <c r="O57" s="109">
        <v>2</v>
      </c>
      <c r="P57" s="44">
        <f t="shared" si="0"/>
        <v>2</v>
      </c>
      <c r="Q57" s="109"/>
      <c r="R57" s="44">
        <f t="shared" si="1"/>
        <v>0</v>
      </c>
      <c r="S57" s="109"/>
      <c r="T57" s="44">
        <f t="shared" si="2"/>
        <v>0</v>
      </c>
      <c r="U57" s="109">
        <v>3</v>
      </c>
      <c r="V57" s="44">
        <f t="shared" si="3"/>
        <v>3</v>
      </c>
      <c r="W57" s="109"/>
      <c r="X57" s="44">
        <f t="shared" si="4"/>
        <v>0</v>
      </c>
      <c r="Y57" s="109"/>
      <c r="Z57" s="44">
        <f t="shared" si="5"/>
        <v>0</v>
      </c>
      <c r="AA57" s="109">
        <v>2</v>
      </c>
      <c r="AB57" s="44">
        <f t="shared" si="6"/>
        <v>2</v>
      </c>
      <c r="AC57" s="109"/>
      <c r="AD57" s="44">
        <f t="shared" si="7"/>
        <v>0</v>
      </c>
      <c r="AE57" s="109"/>
      <c r="AF57" s="44">
        <f t="shared" si="8"/>
        <v>0</v>
      </c>
      <c r="AG57" s="109">
        <v>4</v>
      </c>
      <c r="AH57" s="44">
        <f t="shared" si="9"/>
        <v>4</v>
      </c>
      <c r="AI57" s="109"/>
      <c r="AJ57" s="44">
        <f t="shared" si="10"/>
        <v>0</v>
      </c>
      <c r="AK57" s="109"/>
      <c r="AL57" s="44">
        <f t="shared" si="11"/>
        <v>0</v>
      </c>
      <c r="AM57" s="64">
        <f t="shared" si="12"/>
        <v>11</v>
      </c>
      <c r="AN57" s="65"/>
      <c r="AO57" s="29"/>
    </row>
    <row r="58" spans="1:41">
      <c r="A58" s="106">
        <v>1</v>
      </c>
      <c r="B58" s="110" t="s">
        <v>134</v>
      </c>
      <c r="C58" s="110" t="s">
        <v>925</v>
      </c>
      <c r="D58" s="111" t="s">
        <v>926</v>
      </c>
      <c r="E58" s="107" t="s">
        <v>927</v>
      </c>
      <c r="F58" s="107"/>
      <c r="G58" s="107"/>
      <c r="H58" s="106" t="s">
        <v>928</v>
      </c>
      <c r="I58" s="110" t="s">
        <v>929</v>
      </c>
      <c r="J58" s="106"/>
      <c r="K58" s="107"/>
      <c r="L58" s="107"/>
      <c r="M58" s="105"/>
      <c r="N58" s="108"/>
      <c r="O58" s="109"/>
      <c r="P58" s="44">
        <f t="shared" si="0"/>
        <v>0</v>
      </c>
      <c r="Q58" s="109"/>
      <c r="R58" s="44">
        <f t="shared" si="1"/>
        <v>0</v>
      </c>
      <c r="S58" s="109"/>
      <c r="T58" s="44">
        <f t="shared" si="2"/>
        <v>0</v>
      </c>
      <c r="U58" s="109">
        <v>0.25</v>
      </c>
      <c r="V58" s="44">
        <f t="shared" si="3"/>
        <v>0.25</v>
      </c>
      <c r="W58" s="109"/>
      <c r="X58" s="44">
        <f t="shared" si="4"/>
        <v>0</v>
      </c>
      <c r="Y58" s="109"/>
      <c r="Z58" s="44">
        <f t="shared" si="5"/>
        <v>0</v>
      </c>
      <c r="AA58" s="109"/>
      <c r="AB58" s="44">
        <f t="shared" si="6"/>
        <v>0</v>
      </c>
      <c r="AC58" s="109"/>
      <c r="AD58" s="44">
        <f t="shared" si="7"/>
        <v>0</v>
      </c>
      <c r="AE58" s="109"/>
      <c r="AF58" s="44">
        <f t="shared" si="8"/>
        <v>0</v>
      </c>
      <c r="AG58" s="109">
        <v>0.25</v>
      </c>
      <c r="AH58" s="44">
        <f t="shared" si="9"/>
        <v>0.25</v>
      </c>
      <c r="AI58" s="109"/>
      <c r="AJ58" s="44">
        <f t="shared" si="10"/>
        <v>0</v>
      </c>
      <c r="AK58" s="109"/>
      <c r="AL58" s="44">
        <f t="shared" si="11"/>
        <v>0</v>
      </c>
      <c r="AM58" s="64">
        <f t="shared" si="12"/>
        <v>0.5</v>
      </c>
      <c r="AN58" s="65"/>
      <c r="AO58" s="29"/>
    </row>
    <row r="59" spans="1:41">
      <c r="A59" s="106">
        <v>1</v>
      </c>
      <c r="B59" s="110" t="s">
        <v>134</v>
      </c>
      <c r="C59" s="110" t="s">
        <v>925</v>
      </c>
      <c r="D59" s="111" t="s">
        <v>926</v>
      </c>
      <c r="E59" s="107" t="s">
        <v>930</v>
      </c>
      <c r="F59" s="107"/>
      <c r="G59" s="107"/>
      <c r="H59" s="106" t="s">
        <v>931</v>
      </c>
      <c r="I59" s="110" t="s">
        <v>929</v>
      </c>
      <c r="J59" s="106"/>
      <c r="K59" s="107"/>
      <c r="L59" s="107"/>
      <c r="M59" s="105"/>
      <c r="N59" s="108"/>
      <c r="O59" s="109"/>
      <c r="P59" s="44">
        <f t="shared" si="0"/>
        <v>0</v>
      </c>
      <c r="Q59" s="109"/>
      <c r="R59" s="44">
        <f t="shared" si="1"/>
        <v>0</v>
      </c>
      <c r="S59" s="109"/>
      <c r="T59" s="44">
        <f t="shared" si="2"/>
        <v>0</v>
      </c>
      <c r="U59" s="109">
        <v>0.25</v>
      </c>
      <c r="V59" s="44">
        <f t="shared" si="3"/>
        <v>0.25</v>
      </c>
      <c r="W59" s="109"/>
      <c r="X59" s="44">
        <f t="shared" si="4"/>
        <v>0</v>
      </c>
      <c r="Y59" s="109"/>
      <c r="Z59" s="44">
        <f t="shared" si="5"/>
        <v>0</v>
      </c>
      <c r="AA59" s="109"/>
      <c r="AB59" s="44">
        <f t="shared" si="6"/>
        <v>0</v>
      </c>
      <c r="AC59" s="109"/>
      <c r="AD59" s="44">
        <f t="shared" si="7"/>
        <v>0</v>
      </c>
      <c r="AE59" s="109"/>
      <c r="AF59" s="44">
        <f t="shared" si="8"/>
        <v>0</v>
      </c>
      <c r="AG59" s="109">
        <v>0.25</v>
      </c>
      <c r="AH59" s="44">
        <f t="shared" si="9"/>
        <v>0.25</v>
      </c>
      <c r="AI59" s="109"/>
      <c r="AJ59" s="44">
        <f t="shared" si="10"/>
        <v>0</v>
      </c>
      <c r="AK59" s="109"/>
      <c r="AL59" s="44">
        <f t="shared" si="11"/>
        <v>0</v>
      </c>
      <c r="AM59" s="64">
        <f t="shared" si="12"/>
        <v>0.5</v>
      </c>
      <c r="AN59" s="65"/>
      <c r="AO59" s="29"/>
    </row>
    <row r="60" spans="1:41">
      <c r="A60" s="106">
        <v>1</v>
      </c>
      <c r="B60" s="110" t="s">
        <v>126</v>
      </c>
      <c r="C60" s="110" t="s">
        <v>932</v>
      </c>
      <c r="D60" s="111" t="s">
        <v>933</v>
      </c>
      <c r="E60" s="107" t="s">
        <v>934</v>
      </c>
      <c r="F60" s="107"/>
      <c r="G60" s="107"/>
      <c r="H60" s="106" t="s">
        <v>935</v>
      </c>
      <c r="I60" s="110" t="s">
        <v>936</v>
      </c>
      <c r="J60" s="106"/>
      <c r="K60" s="107"/>
      <c r="L60" s="107"/>
      <c r="M60" s="105"/>
      <c r="N60" s="108"/>
      <c r="O60" s="109">
        <v>1</v>
      </c>
      <c r="P60" s="44">
        <f t="shared" si="0"/>
        <v>1</v>
      </c>
      <c r="Q60" s="109"/>
      <c r="R60" s="44">
        <f t="shared" si="1"/>
        <v>0</v>
      </c>
      <c r="S60" s="109"/>
      <c r="T60" s="44">
        <f t="shared" si="2"/>
        <v>0</v>
      </c>
      <c r="U60" s="109">
        <v>1</v>
      </c>
      <c r="V60" s="44">
        <f t="shared" si="3"/>
        <v>1</v>
      </c>
      <c r="W60" s="109"/>
      <c r="X60" s="44">
        <f t="shared" si="4"/>
        <v>0</v>
      </c>
      <c r="Y60" s="109"/>
      <c r="Z60" s="44">
        <f t="shared" si="5"/>
        <v>0</v>
      </c>
      <c r="AA60" s="109">
        <v>1</v>
      </c>
      <c r="AB60" s="44">
        <f t="shared" si="6"/>
        <v>1</v>
      </c>
      <c r="AC60" s="109"/>
      <c r="AD60" s="44">
        <f t="shared" si="7"/>
        <v>0</v>
      </c>
      <c r="AE60" s="109"/>
      <c r="AF60" s="44">
        <f t="shared" si="8"/>
        <v>0</v>
      </c>
      <c r="AG60" s="109">
        <v>1</v>
      </c>
      <c r="AH60" s="44">
        <f t="shared" si="9"/>
        <v>1</v>
      </c>
      <c r="AI60" s="109"/>
      <c r="AJ60" s="44">
        <f t="shared" si="10"/>
        <v>0</v>
      </c>
      <c r="AK60" s="109"/>
      <c r="AL60" s="44">
        <f t="shared" si="11"/>
        <v>0</v>
      </c>
      <c r="AM60" s="64">
        <f t="shared" si="12"/>
        <v>4</v>
      </c>
      <c r="AN60" s="65"/>
      <c r="AO60" s="29"/>
    </row>
    <row r="61" spans="1:41">
      <c r="A61" s="106">
        <v>1</v>
      </c>
      <c r="B61" s="110"/>
      <c r="C61" s="110"/>
      <c r="D61" s="111"/>
      <c r="E61" s="107"/>
      <c r="F61" s="107"/>
      <c r="G61" s="107"/>
      <c r="H61" s="106"/>
      <c r="I61" s="110"/>
      <c r="J61" s="106"/>
      <c r="K61" s="107"/>
      <c r="L61" s="107"/>
      <c r="M61" s="105"/>
      <c r="N61" s="108"/>
      <c r="O61" s="109"/>
      <c r="P61" s="44">
        <f t="shared" si="0"/>
        <v>0</v>
      </c>
      <c r="Q61" s="109"/>
      <c r="R61" s="44">
        <f t="shared" si="1"/>
        <v>0</v>
      </c>
      <c r="S61" s="109"/>
      <c r="T61" s="44">
        <f t="shared" si="2"/>
        <v>0</v>
      </c>
      <c r="U61" s="109">
        <v>1</v>
      </c>
      <c r="V61" s="44">
        <f t="shared" si="3"/>
        <v>1</v>
      </c>
      <c r="W61" s="109"/>
      <c r="X61" s="44">
        <f t="shared" si="4"/>
        <v>0</v>
      </c>
      <c r="Y61" s="109"/>
      <c r="Z61" s="44">
        <f t="shared" si="5"/>
        <v>0</v>
      </c>
      <c r="AA61" s="109">
        <v>1</v>
      </c>
      <c r="AB61" s="44">
        <f t="shared" si="6"/>
        <v>1</v>
      </c>
      <c r="AC61" s="109"/>
      <c r="AD61" s="44">
        <f t="shared" si="7"/>
        <v>0</v>
      </c>
      <c r="AE61" s="109"/>
      <c r="AF61" s="44">
        <f t="shared" si="8"/>
        <v>0</v>
      </c>
      <c r="AG61" s="109"/>
      <c r="AH61" s="44">
        <f t="shared" si="9"/>
        <v>0</v>
      </c>
      <c r="AI61" s="109"/>
      <c r="AJ61" s="44">
        <f t="shared" si="10"/>
        <v>0</v>
      </c>
      <c r="AK61" s="109"/>
      <c r="AL61" s="44">
        <f t="shared" si="11"/>
        <v>0</v>
      </c>
      <c r="AM61" s="64">
        <f t="shared" si="12"/>
        <v>2</v>
      </c>
      <c r="AN61" s="65"/>
      <c r="AO61" s="29"/>
    </row>
    <row r="62" spans="1:41">
      <c r="A62" s="106">
        <v>1</v>
      </c>
      <c r="B62" s="110" t="s">
        <v>128</v>
      </c>
      <c r="C62" s="110" t="s">
        <v>784</v>
      </c>
      <c r="D62" s="111" t="s">
        <v>937</v>
      </c>
      <c r="E62" s="107" t="s">
        <v>938</v>
      </c>
      <c r="F62" s="107" t="s">
        <v>939</v>
      </c>
      <c r="G62" s="107"/>
      <c r="H62" s="106" t="s">
        <v>940</v>
      </c>
      <c r="I62" s="110" t="s">
        <v>941</v>
      </c>
      <c r="J62" s="106">
        <v>2</v>
      </c>
      <c r="K62" s="107"/>
      <c r="L62" s="107"/>
      <c r="M62" s="105"/>
      <c r="N62" s="108"/>
      <c r="O62" s="109">
        <v>1</v>
      </c>
      <c r="P62" s="44">
        <f t="shared" si="0"/>
        <v>1</v>
      </c>
      <c r="Q62" s="109"/>
      <c r="R62" s="44">
        <f t="shared" si="1"/>
        <v>0</v>
      </c>
      <c r="S62" s="109"/>
      <c r="T62" s="44">
        <f t="shared" si="2"/>
        <v>0</v>
      </c>
      <c r="U62" s="109">
        <v>1</v>
      </c>
      <c r="V62" s="44">
        <f t="shared" si="3"/>
        <v>1</v>
      </c>
      <c r="W62" s="109"/>
      <c r="X62" s="44">
        <f t="shared" si="4"/>
        <v>0</v>
      </c>
      <c r="Y62" s="109"/>
      <c r="Z62" s="44">
        <f t="shared" si="5"/>
        <v>0</v>
      </c>
      <c r="AA62" s="109">
        <v>1</v>
      </c>
      <c r="AB62" s="44">
        <f t="shared" si="6"/>
        <v>1</v>
      </c>
      <c r="AC62" s="109"/>
      <c r="AD62" s="44">
        <f t="shared" si="7"/>
        <v>0</v>
      </c>
      <c r="AE62" s="109"/>
      <c r="AF62" s="44">
        <f t="shared" si="8"/>
        <v>0</v>
      </c>
      <c r="AG62" s="109">
        <v>1</v>
      </c>
      <c r="AH62" s="44">
        <f t="shared" si="9"/>
        <v>1</v>
      </c>
      <c r="AI62" s="109"/>
      <c r="AJ62" s="44">
        <f t="shared" si="10"/>
        <v>0</v>
      </c>
      <c r="AK62" s="109"/>
      <c r="AL62" s="44">
        <f t="shared" si="11"/>
        <v>0</v>
      </c>
      <c r="AM62" s="64">
        <f t="shared" si="12"/>
        <v>4</v>
      </c>
      <c r="AN62" s="65"/>
      <c r="AO62" s="29"/>
    </row>
    <row r="63" spans="1:41">
      <c r="A63" s="106">
        <v>1</v>
      </c>
      <c r="B63" s="110" t="s">
        <v>133</v>
      </c>
      <c r="C63" s="110" t="s">
        <v>784</v>
      </c>
      <c r="D63" s="111" t="s">
        <v>988</v>
      </c>
      <c r="E63" s="107" t="s">
        <v>989</v>
      </c>
      <c r="F63" s="107"/>
      <c r="G63" s="107"/>
      <c r="H63" s="106" t="s">
        <v>957</v>
      </c>
      <c r="I63" s="110" t="s">
        <v>1028</v>
      </c>
      <c r="J63" s="106"/>
      <c r="K63" s="107"/>
      <c r="L63" s="107"/>
      <c r="M63" s="107"/>
      <c r="N63" s="112" t="s">
        <v>1054</v>
      </c>
      <c r="O63" s="109">
        <v>0.75</v>
      </c>
      <c r="P63" s="44">
        <f t="shared" si="0"/>
        <v>0.75</v>
      </c>
      <c r="Q63" s="109"/>
      <c r="R63" s="44">
        <f t="shared" si="1"/>
        <v>0</v>
      </c>
      <c r="S63" s="109"/>
      <c r="T63" s="44">
        <f t="shared" si="2"/>
        <v>0</v>
      </c>
      <c r="U63" s="109">
        <v>0.75</v>
      </c>
      <c r="V63" s="44">
        <f t="shared" si="3"/>
        <v>0.75</v>
      </c>
      <c r="W63" s="109"/>
      <c r="X63" s="44">
        <f t="shared" si="4"/>
        <v>0</v>
      </c>
      <c r="Y63" s="109"/>
      <c r="Z63" s="44">
        <f t="shared" si="5"/>
        <v>0</v>
      </c>
      <c r="AA63" s="109">
        <v>0.75</v>
      </c>
      <c r="AB63" s="44">
        <f t="shared" si="6"/>
        <v>0.75</v>
      </c>
      <c r="AC63" s="109"/>
      <c r="AD63" s="44">
        <f t="shared" si="7"/>
        <v>0</v>
      </c>
      <c r="AE63" s="109"/>
      <c r="AF63" s="44">
        <f t="shared" si="8"/>
        <v>0</v>
      </c>
      <c r="AG63" s="109">
        <v>0.75</v>
      </c>
      <c r="AH63" s="44">
        <f t="shared" si="9"/>
        <v>0.75</v>
      </c>
      <c r="AI63" s="109"/>
      <c r="AJ63" s="44">
        <f t="shared" si="10"/>
        <v>0</v>
      </c>
      <c r="AK63" s="109"/>
      <c r="AL63" s="44">
        <f t="shared" si="11"/>
        <v>0</v>
      </c>
      <c r="AM63" s="64">
        <f t="shared" si="12"/>
        <v>3</v>
      </c>
      <c r="AN63" s="65"/>
      <c r="AO63" s="29"/>
    </row>
    <row r="64" spans="1:41">
      <c r="A64" s="106">
        <v>1</v>
      </c>
      <c r="B64" s="110" t="s">
        <v>133</v>
      </c>
      <c r="C64" s="110" t="s">
        <v>784</v>
      </c>
      <c r="D64" s="111" t="s">
        <v>990</v>
      </c>
      <c r="E64" s="107" t="s">
        <v>991</v>
      </c>
      <c r="F64" s="107"/>
      <c r="G64" s="107"/>
      <c r="H64" s="106" t="s">
        <v>958</v>
      </c>
      <c r="I64" s="110" t="s">
        <v>1029</v>
      </c>
      <c r="J64" s="106"/>
      <c r="K64" s="107"/>
      <c r="L64" s="107"/>
      <c r="M64" s="107"/>
      <c r="N64" s="112" t="s">
        <v>1054</v>
      </c>
      <c r="O64" s="109">
        <v>0.75</v>
      </c>
      <c r="P64" s="44">
        <f t="shared" si="0"/>
        <v>0.75</v>
      </c>
      <c r="Q64" s="109"/>
      <c r="R64" s="44">
        <f t="shared" si="1"/>
        <v>0</v>
      </c>
      <c r="S64" s="109"/>
      <c r="T64" s="44">
        <f t="shared" si="2"/>
        <v>0</v>
      </c>
      <c r="U64" s="109">
        <v>0.75</v>
      </c>
      <c r="V64" s="44">
        <f t="shared" si="3"/>
        <v>0.75</v>
      </c>
      <c r="W64" s="109"/>
      <c r="X64" s="44">
        <f t="shared" si="4"/>
        <v>0</v>
      </c>
      <c r="Y64" s="109"/>
      <c r="Z64" s="44">
        <f t="shared" si="5"/>
        <v>0</v>
      </c>
      <c r="AA64" s="109">
        <v>0.75</v>
      </c>
      <c r="AB64" s="44">
        <f t="shared" si="6"/>
        <v>0.75</v>
      </c>
      <c r="AC64" s="109"/>
      <c r="AD64" s="44">
        <f t="shared" si="7"/>
        <v>0</v>
      </c>
      <c r="AE64" s="109"/>
      <c r="AF64" s="44">
        <f t="shared" si="8"/>
        <v>0</v>
      </c>
      <c r="AG64" s="109">
        <v>0.75</v>
      </c>
      <c r="AH64" s="44">
        <f t="shared" si="9"/>
        <v>0.75</v>
      </c>
      <c r="AI64" s="109"/>
      <c r="AJ64" s="44">
        <f t="shared" si="10"/>
        <v>0</v>
      </c>
      <c r="AK64" s="109"/>
      <c r="AL64" s="44">
        <f t="shared" si="11"/>
        <v>0</v>
      </c>
      <c r="AM64" s="64">
        <f t="shared" si="12"/>
        <v>3</v>
      </c>
      <c r="AN64" s="65"/>
      <c r="AO64" s="29"/>
    </row>
    <row r="65" spans="1:41">
      <c r="A65" s="106">
        <v>1</v>
      </c>
      <c r="B65" s="110" t="s">
        <v>133</v>
      </c>
      <c r="C65" s="110" t="s">
        <v>784</v>
      </c>
      <c r="D65" s="111" t="s">
        <v>990</v>
      </c>
      <c r="E65" s="107" t="s">
        <v>992</v>
      </c>
      <c r="F65" s="107"/>
      <c r="G65" s="107"/>
      <c r="H65" s="106" t="s">
        <v>959</v>
      </c>
      <c r="I65" s="110" t="s">
        <v>1030</v>
      </c>
      <c r="J65" s="106"/>
      <c r="K65" s="107"/>
      <c r="L65" s="107"/>
      <c r="M65" s="107"/>
      <c r="N65" s="112" t="s">
        <v>1054</v>
      </c>
      <c r="O65" s="109">
        <v>0.75</v>
      </c>
      <c r="P65" s="44">
        <f t="shared" si="0"/>
        <v>0.75</v>
      </c>
      <c r="Q65" s="109"/>
      <c r="R65" s="44">
        <f t="shared" si="1"/>
        <v>0</v>
      </c>
      <c r="S65" s="109"/>
      <c r="T65" s="44">
        <f t="shared" si="2"/>
        <v>0</v>
      </c>
      <c r="U65" s="109">
        <v>0.75</v>
      </c>
      <c r="V65" s="44">
        <f t="shared" si="3"/>
        <v>0.75</v>
      </c>
      <c r="W65" s="109"/>
      <c r="X65" s="44">
        <f t="shared" si="4"/>
        <v>0</v>
      </c>
      <c r="Y65" s="109"/>
      <c r="Z65" s="44">
        <f t="shared" si="5"/>
        <v>0</v>
      </c>
      <c r="AA65" s="109">
        <v>0.75</v>
      </c>
      <c r="AB65" s="44">
        <f t="shared" si="6"/>
        <v>0.75</v>
      </c>
      <c r="AC65" s="109"/>
      <c r="AD65" s="44">
        <f t="shared" si="7"/>
        <v>0</v>
      </c>
      <c r="AE65" s="109"/>
      <c r="AF65" s="44">
        <f t="shared" si="8"/>
        <v>0</v>
      </c>
      <c r="AG65" s="109">
        <v>0.75</v>
      </c>
      <c r="AH65" s="44">
        <f t="shared" si="9"/>
        <v>0.75</v>
      </c>
      <c r="AI65" s="109"/>
      <c r="AJ65" s="44">
        <f t="shared" si="10"/>
        <v>0</v>
      </c>
      <c r="AK65" s="109"/>
      <c r="AL65" s="44">
        <f t="shared" si="11"/>
        <v>0</v>
      </c>
      <c r="AM65" s="64">
        <f t="shared" si="12"/>
        <v>3</v>
      </c>
      <c r="AN65" s="65"/>
      <c r="AO65" s="29"/>
    </row>
    <row r="66" spans="1:41">
      <c r="A66" s="106">
        <v>1</v>
      </c>
      <c r="B66" s="110" t="s">
        <v>133</v>
      </c>
      <c r="C66" s="110" t="s">
        <v>784</v>
      </c>
      <c r="D66" s="111" t="s">
        <v>990</v>
      </c>
      <c r="E66" s="107" t="s">
        <v>993</v>
      </c>
      <c r="F66" s="107"/>
      <c r="G66" s="107"/>
      <c r="H66" s="106" t="s">
        <v>960</v>
      </c>
      <c r="I66" s="110" t="s">
        <v>1031</v>
      </c>
      <c r="J66" s="106"/>
      <c r="K66" s="107"/>
      <c r="L66" s="107"/>
      <c r="M66" s="107"/>
      <c r="N66" s="112" t="s">
        <v>1054</v>
      </c>
      <c r="O66" s="109">
        <v>0.75</v>
      </c>
      <c r="P66" s="44">
        <f t="shared" si="0"/>
        <v>0.75</v>
      </c>
      <c r="Q66" s="109"/>
      <c r="R66" s="44">
        <f t="shared" si="1"/>
        <v>0</v>
      </c>
      <c r="S66" s="109"/>
      <c r="T66" s="44">
        <f t="shared" si="2"/>
        <v>0</v>
      </c>
      <c r="U66" s="109">
        <v>0.75</v>
      </c>
      <c r="V66" s="44">
        <f t="shared" si="3"/>
        <v>0.75</v>
      </c>
      <c r="W66" s="109"/>
      <c r="X66" s="44">
        <f t="shared" si="4"/>
        <v>0</v>
      </c>
      <c r="Y66" s="109"/>
      <c r="Z66" s="44">
        <f t="shared" si="5"/>
        <v>0</v>
      </c>
      <c r="AA66" s="109">
        <v>0.75</v>
      </c>
      <c r="AB66" s="44">
        <f t="shared" si="6"/>
        <v>0.75</v>
      </c>
      <c r="AC66" s="109"/>
      <c r="AD66" s="44">
        <f t="shared" si="7"/>
        <v>0</v>
      </c>
      <c r="AE66" s="109"/>
      <c r="AF66" s="44">
        <f t="shared" si="8"/>
        <v>0</v>
      </c>
      <c r="AG66" s="109">
        <v>0.75</v>
      </c>
      <c r="AH66" s="44">
        <f t="shared" si="9"/>
        <v>0.75</v>
      </c>
      <c r="AI66" s="109"/>
      <c r="AJ66" s="44">
        <f t="shared" si="10"/>
        <v>0</v>
      </c>
      <c r="AK66" s="109"/>
      <c r="AL66" s="44">
        <f t="shared" si="11"/>
        <v>0</v>
      </c>
      <c r="AM66" s="64">
        <f t="shared" si="12"/>
        <v>3</v>
      </c>
      <c r="AN66" s="65"/>
      <c r="AO66" s="29"/>
    </row>
    <row r="67" spans="1:41">
      <c r="A67" s="106">
        <v>1</v>
      </c>
      <c r="B67" s="110" t="s">
        <v>133</v>
      </c>
      <c r="C67" s="110" t="s">
        <v>784</v>
      </c>
      <c r="D67" s="111" t="s">
        <v>990</v>
      </c>
      <c r="E67" s="107" t="s">
        <v>994</v>
      </c>
      <c r="F67" s="107"/>
      <c r="G67" s="107"/>
      <c r="H67" s="106" t="s">
        <v>961</v>
      </c>
      <c r="I67" s="110" t="s">
        <v>1032</v>
      </c>
      <c r="J67" s="106"/>
      <c r="K67" s="107"/>
      <c r="L67" s="107"/>
      <c r="M67" s="107"/>
      <c r="N67" s="112" t="s">
        <v>1054</v>
      </c>
      <c r="O67" s="109">
        <v>0.75</v>
      </c>
      <c r="P67" s="44">
        <f t="shared" si="0"/>
        <v>0.75</v>
      </c>
      <c r="Q67" s="109"/>
      <c r="R67" s="44">
        <f t="shared" si="1"/>
        <v>0</v>
      </c>
      <c r="S67" s="109"/>
      <c r="T67" s="44">
        <f t="shared" si="2"/>
        <v>0</v>
      </c>
      <c r="U67" s="109">
        <v>0.75</v>
      </c>
      <c r="V67" s="44">
        <f t="shared" si="3"/>
        <v>0.75</v>
      </c>
      <c r="W67" s="109"/>
      <c r="X67" s="44">
        <f t="shared" si="4"/>
        <v>0</v>
      </c>
      <c r="Y67" s="109"/>
      <c r="Z67" s="44">
        <f t="shared" si="5"/>
        <v>0</v>
      </c>
      <c r="AA67" s="109">
        <v>0.75</v>
      </c>
      <c r="AB67" s="44">
        <f t="shared" si="6"/>
        <v>0.75</v>
      </c>
      <c r="AC67" s="109"/>
      <c r="AD67" s="44">
        <f t="shared" si="7"/>
        <v>0</v>
      </c>
      <c r="AE67" s="109"/>
      <c r="AF67" s="44">
        <f t="shared" si="8"/>
        <v>0</v>
      </c>
      <c r="AG67" s="109">
        <v>0.75</v>
      </c>
      <c r="AH67" s="44">
        <f t="shared" si="9"/>
        <v>0.75</v>
      </c>
      <c r="AI67" s="109"/>
      <c r="AJ67" s="44">
        <f t="shared" si="10"/>
        <v>0</v>
      </c>
      <c r="AK67" s="109"/>
      <c r="AL67" s="44">
        <f t="shared" si="11"/>
        <v>0</v>
      </c>
      <c r="AM67" s="64">
        <f t="shared" si="12"/>
        <v>3</v>
      </c>
      <c r="AN67" s="65"/>
      <c r="AO67" s="29"/>
    </row>
    <row r="68" spans="1:41">
      <c r="A68" s="106">
        <v>1</v>
      </c>
      <c r="B68" s="110" t="s">
        <v>133</v>
      </c>
      <c r="C68" s="110" t="s">
        <v>784</v>
      </c>
      <c r="D68" s="111" t="s">
        <v>995</v>
      </c>
      <c r="E68" s="107" t="s">
        <v>996</v>
      </c>
      <c r="F68" s="107"/>
      <c r="G68" s="107"/>
      <c r="H68" s="106" t="s">
        <v>962</v>
      </c>
      <c r="I68" s="110" t="s">
        <v>1033</v>
      </c>
      <c r="J68" s="106"/>
      <c r="K68" s="107"/>
      <c r="L68" s="107"/>
      <c r="M68" s="107"/>
      <c r="N68" s="112" t="s">
        <v>1054</v>
      </c>
      <c r="O68" s="109">
        <v>0.75</v>
      </c>
      <c r="P68" s="44">
        <f t="shared" si="0"/>
        <v>0.75</v>
      </c>
      <c r="Q68" s="109"/>
      <c r="R68" s="44">
        <f t="shared" si="1"/>
        <v>0</v>
      </c>
      <c r="S68" s="109"/>
      <c r="T68" s="44">
        <f t="shared" si="2"/>
        <v>0</v>
      </c>
      <c r="U68" s="109">
        <v>0.75</v>
      </c>
      <c r="V68" s="44">
        <f t="shared" si="3"/>
        <v>0.75</v>
      </c>
      <c r="W68" s="109"/>
      <c r="X68" s="44">
        <f t="shared" si="4"/>
        <v>0</v>
      </c>
      <c r="Y68" s="109"/>
      <c r="Z68" s="44">
        <f t="shared" si="5"/>
        <v>0</v>
      </c>
      <c r="AA68" s="109">
        <v>0.75</v>
      </c>
      <c r="AB68" s="44">
        <f t="shared" si="6"/>
        <v>0.75</v>
      </c>
      <c r="AC68" s="109"/>
      <c r="AD68" s="44">
        <f t="shared" si="7"/>
        <v>0</v>
      </c>
      <c r="AE68" s="109"/>
      <c r="AF68" s="44">
        <f t="shared" si="8"/>
        <v>0</v>
      </c>
      <c r="AG68" s="109">
        <v>0.75</v>
      </c>
      <c r="AH68" s="44">
        <f t="shared" si="9"/>
        <v>0.75</v>
      </c>
      <c r="AI68" s="109"/>
      <c r="AJ68" s="44">
        <f t="shared" si="10"/>
        <v>0</v>
      </c>
      <c r="AK68" s="109"/>
      <c r="AL68" s="44">
        <f t="shared" si="11"/>
        <v>0</v>
      </c>
      <c r="AM68" s="64">
        <f t="shared" si="12"/>
        <v>3</v>
      </c>
      <c r="AN68" s="65"/>
      <c r="AO68" s="29"/>
    </row>
    <row r="69" spans="1:41">
      <c r="A69" s="106">
        <v>1</v>
      </c>
      <c r="B69" s="110" t="s">
        <v>133</v>
      </c>
      <c r="C69" s="110" t="s">
        <v>784</v>
      </c>
      <c r="D69" s="111" t="s">
        <v>995</v>
      </c>
      <c r="E69" s="107" t="s">
        <v>997</v>
      </c>
      <c r="F69" s="107"/>
      <c r="G69" s="107"/>
      <c r="H69" s="106" t="s">
        <v>963</v>
      </c>
      <c r="I69" s="110" t="s">
        <v>1034</v>
      </c>
      <c r="J69" s="106"/>
      <c r="K69" s="107"/>
      <c r="L69" s="107"/>
      <c r="M69" s="107"/>
      <c r="N69" s="112" t="s">
        <v>1054</v>
      </c>
      <c r="O69" s="109">
        <v>0.75</v>
      </c>
      <c r="P69" s="44">
        <f t="shared" si="0"/>
        <v>0.75</v>
      </c>
      <c r="Q69" s="109"/>
      <c r="R69" s="44">
        <f t="shared" si="1"/>
        <v>0</v>
      </c>
      <c r="S69" s="109"/>
      <c r="T69" s="44">
        <f t="shared" si="2"/>
        <v>0</v>
      </c>
      <c r="U69" s="109">
        <v>0.75</v>
      </c>
      <c r="V69" s="44">
        <f t="shared" si="3"/>
        <v>0.75</v>
      </c>
      <c r="W69" s="109"/>
      <c r="X69" s="44">
        <f t="shared" si="4"/>
        <v>0</v>
      </c>
      <c r="Y69" s="109"/>
      <c r="Z69" s="44">
        <f t="shared" si="5"/>
        <v>0</v>
      </c>
      <c r="AA69" s="109">
        <v>0.75</v>
      </c>
      <c r="AB69" s="44">
        <f t="shared" si="6"/>
        <v>0.75</v>
      </c>
      <c r="AC69" s="109"/>
      <c r="AD69" s="44">
        <f t="shared" si="7"/>
        <v>0</v>
      </c>
      <c r="AE69" s="109"/>
      <c r="AF69" s="44">
        <f t="shared" si="8"/>
        <v>0</v>
      </c>
      <c r="AG69" s="109">
        <v>0.75</v>
      </c>
      <c r="AH69" s="44">
        <f t="shared" si="9"/>
        <v>0.75</v>
      </c>
      <c r="AI69" s="109"/>
      <c r="AJ69" s="44">
        <f t="shared" si="10"/>
        <v>0</v>
      </c>
      <c r="AK69" s="109"/>
      <c r="AL69" s="44">
        <f t="shared" si="11"/>
        <v>0</v>
      </c>
      <c r="AM69" s="64">
        <f t="shared" si="12"/>
        <v>3</v>
      </c>
      <c r="AN69" s="65"/>
      <c r="AO69" s="29"/>
    </row>
    <row r="70" spans="1:41">
      <c r="A70" s="106">
        <v>1</v>
      </c>
      <c r="B70" s="110" t="s">
        <v>133</v>
      </c>
      <c r="C70" s="110" t="s">
        <v>784</v>
      </c>
      <c r="D70" s="111" t="s">
        <v>995</v>
      </c>
      <c r="E70" s="107" t="s">
        <v>998</v>
      </c>
      <c r="F70" s="107"/>
      <c r="G70" s="107"/>
      <c r="H70" s="106" t="s">
        <v>964</v>
      </c>
      <c r="I70" s="110" t="s">
        <v>1035</v>
      </c>
      <c r="J70" s="106"/>
      <c r="K70" s="107"/>
      <c r="L70" s="107"/>
      <c r="M70" s="107"/>
      <c r="N70" s="112" t="s">
        <v>1054</v>
      </c>
      <c r="O70" s="109">
        <v>0.75</v>
      </c>
      <c r="P70" s="44">
        <f t="shared" ref="P70:P99" si="13">A70*O70</f>
        <v>0.75</v>
      </c>
      <c r="Q70" s="109"/>
      <c r="R70" s="44">
        <f t="shared" ref="R70:R99" si="14">Q70*A70</f>
        <v>0</v>
      </c>
      <c r="S70" s="109"/>
      <c r="T70" s="44">
        <f t="shared" ref="T70:T99" si="15">A70*S70</f>
        <v>0</v>
      </c>
      <c r="U70" s="109">
        <v>0.75</v>
      </c>
      <c r="V70" s="44">
        <f t="shared" ref="V70:V99" si="16">$A70*U70</f>
        <v>0.75</v>
      </c>
      <c r="W70" s="109"/>
      <c r="X70" s="44">
        <f t="shared" ref="X70:X99" si="17">$A70*W70</f>
        <v>0</v>
      </c>
      <c r="Y70" s="109"/>
      <c r="Z70" s="44">
        <f t="shared" ref="Z70:Z99" si="18">$A70*Y70</f>
        <v>0</v>
      </c>
      <c r="AA70" s="109">
        <v>0.75</v>
      </c>
      <c r="AB70" s="44">
        <f t="shared" ref="AB70:AB99" si="19">$A70*AA70</f>
        <v>0.75</v>
      </c>
      <c r="AC70" s="109"/>
      <c r="AD70" s="44">
        <f t="shared" ref="AD70:AD99" si="20">$A70*AC70</f>
        <v>0</v>
      </c>
      <c r="AE70" s="109"/>
      <c r="AF70" s="44">
        <f t="shared" ref="AF70:AF99" si="21">$A70*AE70</f>
        <v>0</v>
      </c>
      <c r="AG70" s="109">
        <v>0.75</v>
      </c>
      <c r="AH70" s="44">
        <f t="shared" ref="AH70:AH99" si="22">$A70*AG70</f>
        <v>0.75</v>
      </c>
      <c r="AI70" s="109"/>
      <c r="AJ70" s="44">
        <f t="shared" ref="AJ70:AJ99" si="23">$A70*AI70</f>
        <v>0</v>
      </c>
      <c r="AK70" s="109"/>
      <c r="AL70" s="44">
        <f t="shared" ref="AL70:AL99" si="24">$A70*AK70</f>
        <v>0</v>
      </c>
      <c r="AM70" s="64">
        <f t="shared" ref="AM70:AM99" si="25">SUM(P70+R70+T70+V70+X70+Z70+AB70+AD70+AF70+AH70+AJ70+AL70)</f>
        <v>3</v>
      </c>
      <c r="AN70" s="65"/>
      <c r="AO70" s="29"/>
    </row>
    <row r="71" spans="1:41">
      <c r="A71" s="106">
        <v>1</v>
      </c>
      <c r="B71" s="110" t="s">
        <v>133</v>
      </c>
      <c r="C71" s="110" t="s">
        <v>784</v>
      </c>
      <c r="D71" s="111" t="s">
        <v>995</v>
      </c>
      <c r="E71" s="107" t="s">
        <v>996</v>
      </c>
      <c r="F71" s="107"/>
      <c r="G71" s="107"/>
      <c r="H71" s="106" t="s">
        <v>965</v>
      </c>
      <c r="I71" s="110" t="s">
        <v>1036</v>
      </c>
      <c r="J71" s="106"/>
      <c r="K71" s="107"/>
      <c r="L71" s="107"/>
      <c r="M71" s="107"/>
      <c r="N71" s="112" t="s">
        <v>1054</v>
      </c>
      <c r="O71" s="109">
        <v>0.75</v>
      </c>
      <c r="P71" s="44">
        <f t="shared" si="13"/>
        <v>0.75</v>
      </c>
      <c r="Q71" s="109"/>
      <c r="R71" s="44">
        <f t="shared" si="14"/>
        <v>0</v>
      </c>
      <c r="S71" s="109"/>
      <c r="T71" s="44">
        <f t="shared" si="15"/>
        <v>0</v>
      </c>
      <c r="U71" s="109">
        <v>0.75</v>
      </c>
      <c r="V71" s="44">
        <f t="shared" si="16"/>
        <v>0.75</v>
      </c>
      <c r="W71" s="109"/>
      <c r="X71" s="44">
        <f t="shared" si="17"/>
        <v>0</v>
      </c>
      <c r="Y71" s="109"/>
      <c r="Z71" s="44">
        <f t="shared" si="18"/>
        <v>0</v>
      </c>
      <c r="AA71" s="109">
        <v>0.75</v>
      </c>
      <c r="AB71" s="44">
        <f t="shared" si="19"/>
        <v>0.75</v>
      </c>
      <c r="AC71" s="109"/>
      <c r="AD71" s="44">
        <f t="shared" si="20"/>
        <v>0</v>
      </c>
      <c r="AE71" s="109"/>
      <c r="AF71" s="44">
        <f t="shared" si="21"/>
        <v>0</v>
      </c>
      <c r="AG71" s="109">
        <v>0.75</v>
      </c>
      <c r="AH71" s="44">
        <f t="shared" si="22"/>
        <v>0.75</v>
      </c>
      <c r="AI71" s="109"/>
      <c r="AJ71" s="44">
        <f t="shared" si="23"/>
        <v>0</v>
      </c>
      <c r="AK71" s="109"/>
      <c r="AL71" s="44">
        <f t="shared" si="24"/>
        <v>0</v>
      </c>
      <c r="AM71" s="64">
        <f t="shared" si="25"/>
        <v>3</v>
      </c>
      <c r="AN71" s="65"/>
      <c r="AO71" s="29"/>
    </row>
    <row r="72" spans="1:41">
      <c r="A72" s="106">
        <v>1</v>
      </c>
      <c r="B72" s="110" t="s">
        <v>133</v>
      </c>
      <c r="C72" s="110" t="s">
        <v>784</v>
      </c>
      <c r="D72" s="111" t="s">
        <v>995</v>
      </c>
      <c r="E72" s="107" t="s">
        <v>999</v>
      </c>
      <c r="F72" s="107"/>
      <c r="G72" s="107"/>
      <c r="H72" s="106" t="s">
        <v>966</v>
      </c>
      <c r="I72" s="110" t="s">
        <v>1037</v>
      </c>
      <c r="J72" s="106"/>
      <c r="K72" s="107"/>
      <c r="L72" s="107"/>
      <c r="M72" s="107"/>
      <c r="N72" s="112" t="s">
        <v>1054</v>
      </c>
      <c r="O72" s="109">
        <v>0.75</v>
      </c>
      <c r="P72" s="44">
        <f t="shared" si="13"/>
        <v>0.75</v>
      </c>
      <c r="Q72" s="109"/>
      <c r="R72" s="44">
        <f t="shared" si="14"/>
        <v>0</v>
      </c>
      <c r="S72" s="109"/>
      <c r="T72" s="44">
        <f t="shared" si="15"/>
        <v>0</v>
      </c>
      <c r="U72" s="109">
        <v>0.75</v>
      </c>
      <c r="V72" s="44">
        <f t="shared" si="16"/>
        <v>0.75</v>
      </c>
      <c r="W72" s="109"/>
      <c r="X72" s="44">
        <f t="shared" si="17"/>
        <v>0</v>
      </c>
      <c r="Y72" s="109"/>
      <c r="Z72" s="44">
        <f t="shared" si="18"/>
        <v>0</v>
      </c>
      <c r="AA72" s="109">
        <v>0.75</v>
      </c>
      <c r="AB72" s="44">
        <f t="shared" si="19"/>
        <v>0.75</v>
      </c>
      <c r="AC72" s="109"/>
      <c r="AD72" s="44">
        <f t="shared" si="20"/>
        <v>0</v>
      </c>
      <c r="AE72" s="109"/>
      <c r="AF72" s="44">
        <f t="shared" si="21"/>
        <v>0</v>
      </c>
      <c r="AG72" s="109">
        <v>0.75</v>
      </c>
      <c r="AH72" s="44">
        <f t="shared" si="22"/>
        <v>0.75</v>
      </c>
      <c r="AI72" s="109"/>
      <c r="AJ72" s="44">
        <f t="shared" si="23"/>
        <v>0</v>
      </c>
      <c r="AK72" s="109"/>
      <c r="AL72" s="44">
        <f t="shared" si="24"/>
        <v>0</v>
      </c>
      <c r="AM72" s="64">
        <f t="shared" si="25"/>
        <v>3</v>
      </c>
      <c r="AN72" s="65"/>
      <c r="AO72" s="29"/>
    </row>
    <row r="73" spans="1:41">
      <c r="A73" s="106">
        <v>1</v>
      </c>
      <c r="B73" s="110" t="s">
        <v>133</v>
      </c>
      <c r="C73" s="110" t="s">
        <v>784</v>
      </c>
      <c r="D73" s="111" t="s">
        <v>995</v>
      </c>
      <c r="E73" s="107" t="s">
        <v>1000</v>
      </c>
      <c r="F73" s="107"/>
      <c r="G73" s="107"/>
      <c r="H73" s="106" t="s">
        <v>967</v>
      </c>
      <c r="I73" s="110" t="s">
        <v>1038</v>
      </c>
      <c r="J73" s="106"/>
      <c r="K73" s="107"/>
      <c r="L73" s="107"/>
      <c r="M73" s="107"/>
      <c r="N73" s="112" t="s">
        <v>1054</v>
      </c>
      <c r="O73" s="109">
        <v>0.75</v>
      </c>
      <c r="P73" s="44">
        <f t="shared" si="13"/>
        <v>0.75</v>
      </c>
      <c r="Q73" s="109"/>
      <c r="R73" s="44">
        <f t="shared" si="14"/>
        <v>0</v>
      </c>
      <c r="S73" s="109"/>
      <c r="T73" s="44">
        <f t="shared" si="15"/>
        <v>0</v>
      </c>
      <c r="U73" s="109">
        <v>0.75</v>
      </c>
      <c r="V73" s="44">
        <f t="shared" si="16"/>
        <v>0.75</v>
      </c>
      <c r="W73" s="109"/>
      <c r="X73" s="44">
        <f t="shared" si="17"/>
        <v>0</v>
      </c>
      <c r="Y73" s="109"/>
      <c r="Z73" s="44">
        <f t="shared" si="18"/>
        <v>0</v>
      </c>
      <c r="AA73" s="109">
        <v>0.75</v>
      </c>
      <c r="AB73" s="44">
        <f t="shared" si="19"/>
        <v>0.75</v>
      </c>
      <c r="AC73" s="109"/>
      <c r="AD73" s="44">
        <f t="shared" si="20"/>
        <v>0</v>
      </c>
      <c r="AE73" s="109"/>
      <c r="AF73" s="44">
        <f t="shared" si="21"/>
        <v>0</v>
      </c>
      <c r="AG73" s="109">
        <v>0.75</v>
      </c>
      <c r="AH73" s="44">
        <f t="shared" si="22"/>
        <v>0.75</v>
      </c>
      <c r="AI73" s="109"/>
      <c r="AJ73" s="44">
        <f t="shared" si="23"/>
        <v>0</v>
      </c>
      <c r="AK73" s="109"/>
      <c r="AL73" s="44">
        <f t="shared" si="24"/>
        <v>0</v>
      </c>
      <c r="AM73" s="64">
        <f t="shared" si="25"/>
        <v>3</v>
      </c>
      <c r="AN73" s="65"/>
      <c r="AO73" s="29"/>
    </row>
    <row r="74" spans="1:41">
      <c r="A74" s="106">
        <v>1</v>
      </c>
      <c r="B74" s="110" t="s">
        <v>133</v>
      </c>
      <c r="C74" s="110" t="s">
        <v>784</v>
      </c>
      <c r="D74" s="111" t="s">
        <v>990</v>
      </c>
      <c r="E74" s="107" t="s">
        <v>1001</v>
      </c>
      <c r="F74" s="107"/>
      <c r="G74" s="107"/>
      <c r="H74" s="106" t="s">
        <v>968</v>
      </c>
      <c r="I74" s="110" t="s">
        <v>1039</v>
      </c>
      <c r="J74" s="106"/>
      <c r="K74" s="107"/>
      <c r="L74" s="107"/>
      <c r="M74" s="107"/>
      <c r="N74" s="112" t="s">
        <v>1054</v>
      </c>
      <c r="O74" s="109">
        <v>0.75</v>
      </c>
      <c r="P74" s="44">
        <f t="shared" si="13"/>
        <v>0.75</v>
      </c>
      <c r="Q74" s="109"/>
      <c r="R74" s="44">
        <f t="shared" si="14"/>
        <v>0</v>
      </c>
      <c r="S74" s="109"/>
      <c r="T74" s="44">
        <f t="shared" si="15"/>
        <v>0</v>
      </c>
      <c r="U74" s="109">
        <v>0.75</v>
      </c>
      <c r="V74" s="44">
        <f t="shared" si="16"/>
        <v>0.75</v>
      </c>
      <c r="W74" s="109"/>
      <c r="X74" s="44">
        <f t="shared" si="17"/>
        <v>0</v>
      </c>
      <c r="Y74" s="109"/>
      <c r="Z74" s="44">
        <f t="shared" si="18"/>
        <v>0</v>
      </c>
      <c r="AA74" s="109">
        <v>0.75</v>
      </c>
      <c r="AB74" s="44">
        <f t="shared" si="19"/>
        <v>0.75</v>
      </c>
      <c r="AC74" s="109"/>
      <c r="AD74" s="44">
        <f t="shared" si="20"/>
        <v>0</v>
      </c>
      <c r="AE74" s="109"/>
      <c r="AF74" s="44">
        <f t="shared" si="21"/>
        <v>0</v>
      </c>
      <c r="AG74" s="109">
        <v>0.75</v>
      </c>
      <c r="AH74" s="44">
        <f t="shared" si="22"/>
        <v>0.75</v>
      </c>
      <c r="AI74" s="109"/>
      <c r="AJ74" s="44">
        <f t="shared" si="23"/>
        <v>0</v>
      </c>
      <c r="AK74" s="109"/>
      <c r="AL74" s="44">
        <f t="shared" si="24"/>
        <v>0</v>
      </c>
      <c r="AM74" s="64">
        <f t="shared" si="25"/>
        <v>3</v>
      </c>
      <c r="AN74" s="65"/>
      <c r="AO74" s="29"/>
    </row>
    <row r="75" spans="1:41">
      <c r="A75" s="106">
        <v>1</v>
      </c>
      <c r="B75" s="110" t="s">
        <v>133</v>
      </c>
      <c r="C75" s="110" t="s">
        <v>784</v>
      </c>
      <c r="D75" s="111" t="s">
        <v>995</v>
      </c>
      <c r="E75" s="107" t="s">
        <v>1002</v>
      </c>
      <c r="F75" s="107"/>
      <c r="G75" s="107"/>
      <c r="H75" s="106" t="s">
        <v>969</v>
      </c>
      <c r="I75" s="110" t="s">
        <v>1040</v>
      </c>
      <c r="J75" s="106"/>
      <c r="K75" s="107"/>
      <c r="L75" s="107"/>
      <c r="M75" s="107"/>
      <c r="N75" s="112" t="s">
        <v>1054</v>
      </c>
      <c r="O75" s="109">
        <v>0.75</v>
      </c>
      <c r="P75" s="44">
        <f t="shared" si="13"/>
        <v>0.75</v>
      </c>
      <c r="Q75" s="109"/>
      <c r="R75" s="44">
        <f t="shared" si="14"/>
        <v>0</v>
      </c>
      <c r="S75" s="109"/>
      <c r="T75" s="44">
        <f t="shared" si="15"/>
        <v>0</v>
      </c>
      <c r="U75" s="109">
        <v>0.75</v>
      </c>
      <c r="V75" s="44">
        <f t="shared" si="16"/>
        <v>0.75</v>
      </c>
      <c r="W75" s="109"/>
      <c r="X75" s="44">
        <f t="shared" si="17"/>
        <v>0</v>
      </c>
      <c r="Y75" s="109"/>
      <c r="Z75" s="44">
        <f t="shared" si="18"/>
        <v>0</v>
      </c>
      <c r="AA75" s="109">
        <v>0.75</v>
      </c>
      <c r="AB75" s="44">
        <f t="shared" si="19"/>
        <v>0.75</v>
      </c>
      <c r="AC75" s="109"/>
      <c r="AD75" s="44">
        <f t="shared" si="20"/>
        <v>0</v>
      </c>
      <c r="AE75" s="109"/>
      <c r="AF75" s="44">
        <f t="shared" si="21"/>
        <v>0</v>
      </c>
      <c r="AG75" s="109">
        <v>0.75</v>
      </c>
      <c r="AH75" s="44">
        <f t="shared" si="22"/>
        <v>0.75</v>
      </c>
      <c r="AI75" s="109"/>
      <c r="AJ75" s="44">
        <f t="shared" si="23"/>
        <v>0</v>
      </c>
      <c r="AK75" s="109"/>
      <c r="AL75" s="44">
        <f t="shared" si="24"/>
        <v>0</v>
      </c>
      <c r="AM75" s="64">
        <f t="shared" si="25"/>
        <v>3</v>
      </c>
      <c r="AN75" s="65"/>
      <c r="AO75" s="29"/>
    </row>
    <row r="76" spans="1:41">
      <c r="A76" s="106">
        <v>1</v>
      </c>
      <c r="B76" s="110" t="s">
        <v>133</v>
      </c>
      <c r="C76" s="110" t="s">
        <v>784</v>
      </c>
      <c r="D76" s="111" t="s">
        <v>1003</v>
      </c>
      <c r="E76" s="107" t="s">
        <v>1004</v>
      </c>
      <c r="F76" s="107"/>
      <c r="G76" s="107"/>
      <c r="H76" s="106" t="s">
        <v>970</v>
      </c>
      <c r="I76" s="110" t="s">
        <v>1041</v>
      </c>
      <c r="J76" s="106"/>
      <c r="K76" s="107"/>
      <c r="L76" s="107"/>
      <c r="M76" s="107"/>
      <c r="N76" s="112" t="s">
        <v>1054</v>
      </c>
      <c r="O76" s="109">
        <v>0.75</v>
      </c>
      <c r="P76" s="44">
        <f t="shared" si="13"/>
        <v>0.75</v>
      </c>
      <c r="Q76" s="109"/>
      <c r="R76" s="44">
        <f t="shared" si="14"/>
        <v>0</v>
      </c>
      <c r="S76" s="109"/>
      <c r="T76" s="44">
        <f t="shared" si="15"/>
        <v>0</v>
      </c>
      <c r="U76" s="109">
        <v>0.75</v>
      </c>
      <c r="V76" s="44">
        <f t="shared" si="16"/>
        <v>0.75</v>
      </c>
      <c r="W76" s="109"/>
      <c r="X76" s="44">
        <f t="shared" si="17"/>
        <v>0</v>
      </c>
      <c r="Y76" s="109"/>
      <c r="Z76" s="44">
        <f t="shared" si="18"/>
        <v>0</v>
      </c>
      <c r="AA76" s="109">
        <v>0.75</v>
      </c>
      <c r="AB76" s="44">
        <f t="shared" si="19"/>
        <v>0.75</v>
      </c>
      <c r="AC76" s="109"/>
      <c r="AD76" s="44">
        <f t="shared" si="20"/>
        <v>0</v>
      </c>
      <c r="AE76" s="109"/>
      <c r="AF76" s="44">
        <f t="shared" si="21"/>
        <v>0</v>
      </c>
      <c r="AG76" s="109">
        <v>0.75</v>
      </c>
      <c r="AH76" s="44">
        <f t="shared" si="22"/>
        <v>0.75</v>
      </c>
      <c r="AI76" s="109"/>
      <c r="AJ76" s="44">
        <f t="shared" si="23"/>
        <v>0</v>
      </c>
      <c r="AK76" s="109"/>
      <c r="AL76" s="44">
        <f t="shared" si="24"/>
        <v>0</v>
      </c>
      <c r="AM76" s="64">
        <f t="shared" si="25"/>
        <v>3</v>
      </c>
      <c r="AN76" s="65"/>
      <c r="AO76" s="29"/>
    </row>
    <row r="77" spans="1:41">
      <c r="A77" s="106">
        <v>1</v>
      </c>
      <c r="B77" s="110" t="s">
        <v>133</v>
      </c>
      <c r="C77" s="110" t="s">
        <v>784</v>
      </c>
      <c r="D77" s="111" t="s">
        <v>1005</v>
      </c>
      <c r="E77" s="107" t="s">
        <v>1006</v>
      </c>
      <c r="F77" s="107"/>
      <c r="G77" s="107"/>
      <c r="H77" s="106" t="s">
        <v>971</v>
      </c>
      <c r="I77" s="110" t="s">
        <v>1042</v>
      </c>
      <c r="J77" s="106"/>
      <c r="K77" s="107"/>
      <c r="L77" s="107"/>
      <c r="M77" s="107"/>
      <c r="N77" s="112" t="s">
        <v>1054</v>
      </c>
      <c r="O77" s="109">
        <v>0.75</v>
      </c>
      <c r="P77" s="44">
        <f t="shared" si="13"/>
        <v>0.75</v>
      </c>
      <c r="Q77" s="109"/>
      <c r="R77" s="44">
        <f t="shared" si="14"/>
        <v>0</v>
      </c>
      <c r="S77" s="109"/>
      <c r="T77" s="44">
        <f t="shared" si="15"/>
        <v>0</v>
      </c>
      <c r="U77" s="109">
        <v>0.75</v>
      </c>
      <c r="V77" s="44">
        <f t="shared" si="16"/>
        <v>0.75</v>
      </c>
      <c r="W77" s="109"/>
      <c r="X77" s="44">
        <f t="shared" si="17"/>
        <v>0</v>
      </c>
      <c r="Y77" s="109"/>
      <c r="Z77" s="44">
        <f t="shared" si="18"/>
        <v>0</v>
      </c>
      <c r="AA77" s="109">
        <v>0.75</v>
      </c>
      <c r="AB77" s="44">
        <f t="shared" si="19"/>
        <v>0.75</v>
      </c>
      <c r="AC77" s="109"/>
      <c r="AD77" s="44">
        <f t="shared" si="20"/>
        <v>0</v>
      </c>
      <c r="AE77" s="109"/>
      <c r="AF77" s="44">
        <f t="shared" si="21"/>
        <v>0</v>
      </c>
      <c r="AG77" s="109">
        <v>0.75</v>
      </c>
      <c r="AH77" s="44">
        <f t="shared" si="22"/>
        <v>0.75</v>
      </c>
      <c r="AI77" s="109"/>
      <c r="AJ77" s="44">
        <f t="shared" si="23"/>
        <v>0</v>
      </c>
      <c r="AK77" s="109"/>
      <c r="AL77" s="44">
        <f t="shared" si="24"/>
        <v>0</v>
      </c>
      <c r="AM77" s="64">
        <f t="shared" si="25"/>
        <v>3</v>
      </c>
      <c r="AN77" s="65"/>
      <c r="AO77" s="29"/>
    </row>
    <row r="78" spans="1:41">
      <c r="A78" s="106">
        <v>1</v>
      </c>
      <c r="B78" s="110" t="s">
        <v>133</v>
      </c>
      <c r="C78" s="110" t="s">
        <v>784</v>
      </c>
      <c r="D78" s="111" t="s">
        <v>1007</v>
      </c>
      <c r="E78" s="107" t="s">
        <v>1007</v>
      </c>
      <c r="F78" s="107"/>
      <c r="G78" s="107"/>
      <c r="H78" s="106" t="s">
        <v>972</v>
      </c>
      <c r="I78" s="110" t="s">
        <v>1007</v>
      </c>
      <c r="J78" s="106"/>
      <c r="K78" s="107"/>
      <c r="L78" s="107"/>
      <c r="M78" s="107"/>
      <c r="N78" s="112" t="s">
        <v>1054</v>
      </c>
      <c r="O78" s="109">
        <v>0.75</v>
      </c>
      <c r="P78" s="44">
        <f t="shared" si="13"/>
        <v>0.75</v>
      </c>
      <c r="Q78" s="109"/>
      <c r="R78" s="44">
        <f t="shared" si="14"/>
        <v>0</v>
      </c>
      <c r="S78" s="109"/>
      <c r="T78" s="44">
        <f t="shared" si="15"/>
        <v>0</v>
      </c>
      <c r="U78" s="109">
        <v>0.75</v>
      </c>
      <c r="V78" s="44">
        <f t="shared" si="16"/>
        <v>0.75</v>
      </c>
      <c r="W78" s="109"/>
      <c r="X78" s="44">
        <f t="shared" si="17"/>
        <v>0</v>
      </c>
      <c r="Y78" s="109"/>
      <c r="Z78" s="44">
        <f t="shared" si="18"/>
        <v>0</v>
      </c>
      <c r="AA78" s="109">
        <v>0.75</v>
      </c>
      <c r="AB78" s="44">
        <f t="shared" si="19"/>
        <v>0.75</v>
      </c>
      <c r="AC78" s="109"/>
      <c r="AD78" s="44">
        <f t="shared" si="20"/>
        <v>0</v>
      </c>
      <c r="AE78" s="109"/>
      <c r="AF78" s="44">
        <f t="shared" si="21"/>
        <v>0</v>
      </c>
      <c r="AG78" s="109">
        <v>0.75</v>
      </c>
      <c r="AH78" s="44">
        <f t="shared" si="22"/>
        <v>0.75</v>
      </c>
      <c r="AI78" s="109"/>
      <c r="AJ78" s="44">
        <f t="shared" si="23"/>
        <v>0</v>
      </c>
      <c r="AK78" s="109"/>
      <c r="AL78" s="44">
        <f t="shared" si="24"/>
        <v>0</v>
      </c>
      <c r="AM78" s="64">
        <f t="shared" si="25"/>
        <v>3</v>
      </c>
      <c r="AN78" s="65"/>
      <c r="AO78" s="29"/>
    </row>
    <row r="79" spans="1:41">
      <c r="A79" s="106">
        <v>1</v>
      </c>
      <c r="B79" s="110" t="s">
        <v>133</v>
      </c>
      <c r="C79" s="110" t="s">
        <v>784</v>
      </c>
      <c r="D79" s="111" t="s">
        <v>1008</v>
      </c>
      <c r="E79" s="107" t="s">
        <v>1009</v>
      </c>
      <c r="F79" s="107"/>
      <c r="G79" s="107"/>
      <c r="H79" s="106" t="s">
        <v>973</v>
      </c>
      <c r="I79" s="110" t="s">
        <v>1043</v>
      </c>
      <c r="J79" s="106"/>
      <c r="K79" s="107"/>
      <c r="L79" s="107"/>
      <c r="M79" s="107"/>
      <c r="N79" s="112" t="s">
        <v>1054</v>
      </c>
      <c r="O79" s="109">
        <v>0.75</v>
      </c>
      <c r="P79" s="44">
        <f t="shared" si="13"/>
        <v>0.75</v>
      </c>
      <c r="Q79" s="109"/>
      <c r="R79" s="44">
        <f t="shared" si="14"/>
        <v>0</v>
      </c>
      <c r="S79" s="109"/>
      <c r="T79" s="44">
        <f t="shared" si="15"/>
        <v>0</v>
      </c>
      <c r="U79" s="109">
        <v>0.75</v>
      </c>
      <c r="V79" s="44">
        <f t="shared" si="16"/>
        <v>0.75</v>
      </c>
      <c r="W79" s="109"/>
      <c r="X79" s="44">
        <f t="shared" si="17"/>
        <v>0</v>
      </c>
      <c r="Y79" s="109"/>
      <c r="Z79" s="44">
        <f t="shared" si="18"/>
        <v>0</v>
      </c>
      <c r="AA79" s="109">
        <v>0.75</v>
      </c>
      <c r="AB79" s="44">
        <f t="shared" si="19"/>
        <v>0.75</v>
      </c>
      <c r="AC79" s="109"/>
      <c r="AD79" s="44">
        <f t="shared" si="20"/>
        <v>0</v>
      </c>
      <c r="AE79" s="109"/>
      <c r="AF79" s="44">
        <f t="shared" si="21"/>
        <v>0</v>
      </c>
      <c r="AG79" s="109">
        <v>0.75</v>
      </c>
      <c r="AH79" s="44">
        <f t="shared" si="22"/>
        <v>0.75</v>
      </c>
      <c r="AI79" s="109"/>
      <c r="AJ79" s="44">
        <f t="shared" si="23"/>
        <v>0</v>
      </c>
      <c r="AK79" s="109"/>
      <c r="AL79" s="44">
        <f t="shared" si="24"/>
        <v>0</v>
      </c>
      <c r="AM79" s="64">
        <f t="shared" si="25"/>
        <v>3</v>
      </c>
      <c r="AN79" s="65"/>
      <c r="AO79" s="29"/>
    </row>
    <row r="80" spans="1:41">
      <c r="A80" s="106">
        <v>1</v>
      </c>
      <c r="B80" s="110" t="s">
        <v>133</v>
      </c>
      <c r="C80" s="110" t="s">
        <v>784</v>
      </c>
      <c r="D80" s="111" t="s">
        <v>1010</v>
      </c>
      <c r="E80" s="107" t="s">
        <v>1011</v>
      </c>
      <c r="F80" s="107"/>
      <c r="G80" s="107"/>
      <c r="H80" s="106" t="s">
        <v>974</v>
      </c>
      <c r="I80" s="110" t="s">
        <v>1044</v>
      </c>
      <c r="J80" s="106"/>
      <c r="K80" s="107"/>
      <c r="L80" s="107"/>
      <c r="M80" s="107"/>
      <c r="N80" s="112" t="s">
        <v>1054</v>
      </c>
      <c r="O80" s="109">
        <v>0.75</v>
      </c>
      <c r="P80" s="44">
        <f t="shared" si="13"/>
        <v>0.75</v>
      </c>
      <c r="Q80" s="109"/>
      <c r="R80" s="44">
        <f t="shared" si="14"/>
        <v>0</v>
      </c>
      <c r="S80" s="109"/>
      <c r="T80" s="44">
        <f t="shared" si="15"/>
        <v>0</v>
      </c>
      <c r="U80" s="109">
        <v>0.75</v>
      </c>
      <c r="V80" s="44">
        <f t="shared" si="16"/>
        <v>0.75</v>
      </c>
      <c r="W80" s="109"/>
      <c r="X80" s="44">
        <f t="shared" si="17"/>
        <v>0</v>
      </c>
      <c r="Y80" s="109"/>
      <c r="Z80" s="44">
        <f t="shared" si="18"/>
        <v>0</v>
      </c>
      <c r="AA80" s="109">
        <v>0.75</v>
      </c>
      <c r="AB80" s="44">
        <f t="shared" si="19"/>
        <v>0.75</v>
      </c>
      <c r="AC80" s="109"/>
      <c r="AD80" s="44">
        <f t="shared" si="20"/>
        <v>0</v>
      </c>
      <c r="AE80" s="109"/>
      <c r="AF80" s="44">
        <f t="shared" si="21"/>
        <v>0</v>
      </c>
      <c r="AG80" s="109">
        <v>0.75</v>
      </c>
      <c r="AH80" s="44">
        <f t="shared" si="22"/>
        <v>0.75</v>
      </c>
      <c r="AI80" s="109"/>
      <c r="AJ80" s="44">
        <f t="shared" si="23"/>
        <v>0</v>
      </c>
      <c r="AK80" s="109"/>
      <c r="AL80" s="44">
        <f t="shared" si="24"/>
        <v>0</v>
      </c>
      <c r="AM80" s="64">
        <f t="shared" si="25"/>
        <v>3</v>
      </c>
      <c r="AN80" s="65"/>
      <c r="AO80" s="29"/>
    </row>
    <row r="81" spans="1:41">
      <c r="A81" s="106">
        <v>1</v>
      </c>
      <c r="B81" s="110" t="s">
        <v>133</v>
      </c>
      <c r="C81" s="110" t="s">
        <v>784</v>
      </c>
      <c r="D81" s="111" t="s">
        <v>1007</v>
      </c>
      <c r="E81" s="107" t="s">
        <v>1007</v>
      </c>
      <c r="F81" s="107"/>
      <c r="G81" s="107"/>
      <c r="H81" s="106" t="s">
        <v>975</v>
      </c>
      <c r="I81" s="110" t="s">
        <v>1007</v>
      </c>
      <c r="J81" s="106"/>
      <c r="K81" s="107"/>
      <c r="L81" s="107"/>
      <c r="M81" s="107"/>
      <c r="N81" s="112" t="s">
        <v>1054</v>
      </c>
      <c r="O81" s="109">
        <v>0.75</v>
      </c>
      <c r="P81" s="44">
        <f t="shared" si="13"/>
        <v>0.75</v>
      </c>
      <c r="Q81" s="109"/>
      <c r="R81" s="44">
        <f t="shared" si="14"/>
        <v>0</v>
      </c>
      <c r="S81" s="109"/>
      <c r="T81" s="44">
        <f t="shared" si="15"/>
        <v>0</v>
      </c>
      <c r="U81" s="109">
        <v>0.75</v>
      </c>
      <c r="V81" s="44">
        <f t="shared" si="16"/>
        <v>0.75</v>
      </c>
      <c r="W81" s="109"/>
      <c r="X81" s="44">
        <f t="shared" si="17"/>
        <v>0</v>
      </c>
      <c r="Y81" s="109"/>
      <c r="Z81" s="44">
        <f t="shared" si="18"/>
        <v>0</v>
      </c>
      <c r="AA81" s="109">
        <v>0.75</v>
      </c>
      <c r="AB81" s="44">
        <f t="shared" si="19"/>
        <v>0.75</v>
      </c>
      <c r="AC81" s="109"/>
      <c r="AD81" s="44">
        <f t="shared" si="20"/>
        <v>0</v>
      </c>
      <c r="AE81" s="109"/>
      <c r="AF81" s="44">
        <f t="shared" si="21"/>
        <v>0</v>
      </c>
      <c r="AG81" s="109">
        <v>0.75</v>
      </c>
      <c r="AH81" s="44">
        <f t="shared" si="22"/>
        <v>0.75</v>
      </c>
      <c r="AI81" s="109"/>
      <c r="AJ81" s="44">
        <f t="shared" si="23"/>
        <v>0</v>
      </c>
      <c r="AK81" s="109"/>
      <c r="AL81" s="44">
        <f t="shared" si="24"/>
        <v>0</v>
      </c>
      <c r="AM81" s="64">
        <f t="shared" si="25"/>
        <v>3</v>
      </c>
      <c r="AN81" s="65"/>
      <c r="AO81" s="29"/>
    </row>
    <row r="82" spans="1:41">
      <c r="A82" s="106">
        <v>1</v>
      </c>
      <c r="B82" s="110" t="s">
        <v>133</v>
      </c>
      <c r="C82" s="110" t="s">
        <v>784</v>
      </c>
      <c r="D82" s="111" t="s">
        <v>1012</v>
      </c>
      <c r="E82" s="107" t="s">
        <v>1013</v>
      </c>
      <c r="F82" s="107"/>
      <c r="G82" s="107"/>
      <c r="H82" s="106" t="s">
        <v>976</v>
      </c>
      <c r="I82" s="110" t="s">
        <v>1045</v>
      </c>
      <c r="J82" s="106"/>
      <c r="K82" s="107"/>
      <c r="L82" s="107"/>
      <c r="M82" s="107"/>
      <c r="N82" s="112" t="s">
        <v>1054</v>
      </c>
      <c r="O82" s="109">
        <v>0.75</v>
      </c>
      <c r="P82" s="44">
        <f t="shared" si="13"/>
        <v>0.75</v>
      </c>
      <c r="Q82" s="109"/>
      <c r="R82" s="44">
        <f t="shared" si="14"/>
        <v>0</v>
      </c>
      <c r="S82" s="109"/>
      <c r="T82" s="44">
        <f t="shared" si="15"/>
        <v>0</v>
      </c>
      <c r="U82" s="109">
        <v>0.75</v>
      </c>
      <c r="V82" s="44">
        <f t="shared" si="16"/>
        <v>0.75</v>
      </c>
      <c r="W82" s="109"/>
      <c r="X82" s="44">
        <f t="shared" si="17"/>
        <v>0</v>
      </c>
      <c r="Y82" s="109"/>
      <c r="Z82" s="44">
        <f t="shared" si="18"/>
        <v>0</v>
      </c>
      <c r="AA82" s="109">
        <v>0.75</v>
      </c>
      <c r="AB82" s="44">
        <f t="shared" si="19"/>
        <v>0.75</v>
      </c>
      <c r="AC82" s="109"/>
      <c r="AD82" s="44">
        <f t="shared" si="20"/>
        <v>0</v>
      </c>
      <c r="AE82" s="109"/>
      <c r="AF82" s="44">
        <f t="shared" si="21"/>
        <v>0</v>
      </c>
      <c r="AG82" s="109">
        <v>0.75</v>
      </c>
      <c r="AH82" s="44">
        <f t="shared" si="22"/>
        <v>0.75</v>
      </c>
      <c r="AI82" s="109"/>
      <c r="AJ82" s="44">
        <f t="shared" si="23"/>
        <v>0</v>
      </c>
      <c r="AK82" s="109"/>
      <c r="AL82" s="44">
        <f t="shared" si="24"/>
        <v>0</v>
      </c>
      <c r="AM82" s="64">
        <f t="shared" si="25"/>
        <v>3</v>
      </c>
      <c r="AN82" s="65"/>
      <c r="AO82" s="29"/>
    </row>
    <row r="83" spans="1:41">
      <c r="A83" s="106">
        <v>1</v>
      </c>
      <c r="B83" s="110" t="s">
        <v>133</v>
      </c>
      <c r="C83" s="110" t="s">
        <v>784</v>
      </c>
      <c r="D83" s="111" t="s">
        <v>988</v>
      </c>
      <c r="E83" s="107" t="s">
        <v>1014</v>
      </c>
      <c r="F83" s="107"/>
      <c r="G83" s="107"/>
      <c r="H83" s="106" t="s">
        <v>977</v>
      </c>
      <c r="I83" s="110" t="s">
        <v>1046</v>
      </c>
      <c r="J83" s="106"/>
      <c r="K83" s="107"/>
      <c r="L83" s="107"/>
      <c r="M83" s="107"/>
      <c r="N83" s="112" t="s">
        <v>1054</v>
      </c>
      <c r="O83" s="109">
        <v>0.75</v>
      </c>
      <c r="P83" s="44">
        <f t="shared" si="13"/>
        <v>0.75</v>
      </c>
      <c r="Q83" s="109"/>
      <c r="R83" s="44">
        <f t="shared" si="14"/>
        <v>0</v>
      </c>
      <c r="S83" s="109"/>
      <c r="T83" s="44">
        <f t="shared" si="15"/>
        <v>0</v>
      </c>
      <c r="U83" s="109">
        <v>0.75</v>
      </c>
      <c r="V83" s="44">
        <f t="shared" si="16"/>
        <v>0.75</v>
      </c>
      <c r="W83" s="109"/>
      <c r="X83" s="44">
        <f t="shared" si="17"/>
        <v>0</v>
      </c>
      <c r="Y83" s="109"/>
      <c r="Z83" s="44">
        <f t="shared" si="18"/>
        <v>0</v>
      </c>
      <c r="AA83" s="109">
        <v>0.75</v>
      </c>
      <c r="AB83" s="44">
        <f t="shared" si="19"/>
        <v>0.75</v>
      </c>
      <c r="AC83" s="109"/>
      <c r="AD83" s="44">
        <f t="shared" si="20"/>
        <v>0</v>
      </c>
      <c r="AE83" s="109"/>
      <c r="AF83" s="44">
        <f t="shared" si="21"/>
        <v>0</v>
      </c>
      <c r="AG83" s="109">
        <v>0.75</v>
      </c>
      <c r="AH83" s="44">
        <f t="shared" si="22"/>
        <v>0.75</v>
      </c>
      <c r="AI83" s="109"/>
      <c r="AJ83" s="44">
        <f t="shared" si="23"/>
        <v>0</v>
      </c>
      <c r="AK83" s="109"/>
      <c r="AL83" s="44">
        <f t="shared" si="24"/>
        <v>0</v>
      </c>
      <c r="AM83" s="64">
        <f t="shared" si="25"/>
        <v>3</v>
      </c>
      <c r="AN83" s="65"/>
      <c r="AO83" s="29"/>
    </row>
    <row r="84" spans="1:41">
      <c r="A84" s="106">
        <v>1</v>
      </c>
      <c r="B84" s="110" t="s">
        <v>133</v>
      </c>
      <c r="C84" s="110" t="s">
        <v>784</v>
      </c>
      <c r="D84" s="111" t="s">
        <v>1012</v>
      </c>
      <c r="E84" s="107" t="s">
        <v>1015</v>
      </c>
      <c r="F84" s="107"/>
      <c r="G84" s="107"/>
      <c r="H84" s="106" t="s">
        <v>978</v>
      </c>
      <c r="I84" s="110" t="s">
        <v>1047</v>
      </c>
      <c r="J84" s="106"/>
      <c r="K84" s="107"/>
      <c r="L84" s="107"/>
      <c r="M84" s="107"/>
      <c r="N84" s="112" t="s">
        <v>1054</v>
      </c>
      <c r="O84" s="109">
        <v>0.75</v>
      </c>
      <c r="P84" s="44">
        <f t="shared" si="13"/>
        <v>0.75</v>
      </c>
      <c r="Q84" s="109"/>
      <c r="R84" s="44">
        <f t="shared" si="14"/>
        <v>0</v>
      </c>
      <c r="S84" s="109"/>
      <c r="T84" s="44">
        <f t="shared" si="15"/>
        <v>0</v>
      </c>
      <c r="U84" s="109">
        <v>0.75</v>
      </c>
      <c r="V84" s="44">
        <f t="shared" si="16"/>
        <v>0.75</v>
      </c>
      <c r="W84" s="109"/>
      <c r="X84" s="44">
        <f t="shared" si="17"/>
        <v>0</v>
      </c>
      <c r="Y84" s="109"/>
      <c r="Z84" s="44">
        <f t="shared" si="18"/>
        <v>0</v>
      </c>
      <c r="AA84" s="109">
        <v>0.75</v>
      </c>
      <c r="AB84" s="44">
        <f t="shared" si="19"/>
        <v>0.75</v>
      </c>
      <c r="AC84" s="109"/>
      <c r="AD84" s="44">
        <f t="shared" si="20"/>
        <v>0</v>
      </c>
      <c r="AE84" s="109"/>
      <c r="AF84" s="44">
        <f t="shared" si="21"/>
        <v>0</v>
      </c>
      <c r="AG84" s="109">
        <v>0.75</v>
      </c>
      <c r="AH84" s="44">
        <f t="shared" si="22"/>
        <v>0.75</v>
      </c>
      <c r="AI84" s="109"/>
      <c r="AJ84" s="44">
        <f t="shared" si="23"/>
        <v>0</v>
      </c>
      <c r="AK84" s="109"/>
      <c r="AL84" s="44">
        <f t="shared" si="24"/>
        <v>0</v>
      </c>
      <c r="AM84" s="64">
        <f t="shared" si="25"/>
        <v>3</v>
      </c>
      <c r="AN84" s="65"/>
      <c r="AO84" s="29"/>
    </row>
    <row r="85" spans="1:41">
      <c r="A85" s="106">
        <v>1</v>
      </c>
      <c r="B85" s="110" t="s">
        <v>133</v>
      </c>
      <c r="C85" s="110" t="s">
        <v>784</v>
      </c>
      <c r="D85" s="111" t="s">
        <v>1016</v>
      </c>
      <c r="E85" s="107" t="s">
        <v>1017</v>
      </c>
      <c r="F85" s="107"/>
      <c r="G85" s="107"/>
      <c r="H85" s="106" t="s">
        <v>979</v>
      </c>
      <c r="I85" s="110" t="s">
        <v>1007</v>
      </c>
      <c r="J85" s="106"/>
      <c r="K85" s="107"/>
      <c r="L85" s="107"/>
      <c r="M85" s="107"/>
      <c r="N85" s="112" t="s">
        <v>1054</v>
      </c>
      <c r="O85" s="109">
        <v>0.75</v>
      </c>
      <c r="P85" s="44">
        <f t="shared" si="13"/>
        <v>0.75</v>
      </c>
      <c r="Q85" s="109"/>
      <c r="R85" s="44">
        <f t="shared" si="14"/>
        <v>0</v>
      </c>
      <c r="S85" s="109"/>
      <c r="T85" s="44">
        <f t="shared" si="15"/>
        <v>0</v>
      </c>
      <c r="U85" s="109">
        <v>0.75</v>
      </c>
      <c r="V85" s="44">
        <f t="shared" si="16"/>
        <v>0.75</v>
      </c>
      <c r="W85" s="109"/>
      <c r="X85" s="44">
        <f t="shared" si="17"/>
        <v>0</v>
      </c>
      <c r="Y85" s="109"/>
      <c r="Z85" s="44">
        <f t="shared" si="18"/>
        <v>0</v>
      </c>
      <c r="AA85" s="109">
        <v>0.75</v>
      </c>
      <c r="AB85" s="44">
        <f t="shared" si="19"/>
        <v>0.75</v>
      </c>
      <c r="AC85" s="109"/>
      <c r="AD85" s="44">
        <f t="shared" si="20"/>
        <v>0</v>
      </c>
      <c r="AE85" s="109"/>
      <c r="AF85" s="44">
        <f t="shared" si="21"/>
        <v>0</v>
      </c>
      <c r="AG85" s="109">
        <v>0.75</v>
      </c>
      <c r="AH85" s="44">
        <f t="shared" si="22"/>
        <v>0.75</v>
      </c>
      <c r="AI85" s="109"/>
      <c r="AJ85" s="44">
        <f t="shared" si="23"/>
        <v>0</v>
      </c>
      <c r="AK85" s="109"/>
      <c r="AL85" s="44">
        <f t="shared" si="24"/>
        <v>0</v>
      </c>
      <c r="AM85" s="64">
        <f t="shared" si="25"/>
        <v>3</v>
      </c>
      <c r="AN85" s="65"/>
      <c r="AO85" s="29"/>
    </row>
    <row r="86" spans="1:41">
      <c r="A86" s="106">
        <v>1</v>
      </c>
      <c r="B86" s="110" t="s">
        <v>133</v>
      </c>
      <c r="C86" s="110" t="s">
        <v>784</v>
      </c>
      <c r="D86" s="111" t="s">
        <v>1018</v>
      </c>
      <c r="E86" s="107" t="s">
        <v>1019</v>
      </c>
      <c r="F86" s="107"/>
      <c r="G86" s="107"/>
      <c r="H86" s="106" t="s">
        <v>980</v>
      </c>
      <c r="I86" s="110" t="s">
        <v>1007</v>
      </c>
      <c r="J86" s="106"/>
      <c r="K86" s="107"/>
      <c r="L86" s="107"/>
      <c r="M86" s="107"/>
      <c r="N86" s="112" t="s">
        <v>1054</v>
      </c>
      <c r="O86" s="109">
        <v>0.75</v>
      </c>
      <c r="P86" s="44">
        <f t="shared" si="13"/>
        <v>0.75</v>
      </c>
      <c r="Q86" s="109"/>
      <c r="R86" s="44">
        <f t="shared" si="14"/>
        <v>0</v>
      </c>
      <c r="S86" s="109"/>
      <c r="T86" s="44">
        <f t="shared" si="15"/>
        <v>0</v>
      </c>
      <c r="U86" s="109">
        <v>0.75</v>
      </c>
      <c r="V86" s="44">
        <f t="shared" si="16"/>
        <v>0.75</v>
      </c>
      <c r="W86" s="109"/>
      <c r="X86" s="44">
        <f t="shared" si="17"/>
        <v>0</v>
      </c>
      <c r="Y86" s="109"/>
      <c r="Z86" s="44">
        <f t="shared" si="18"/>
        <v>0</v>
      </c>
      <c r="AA86" s="109">
        <v>0.75</v>
      </c>
      <c r="AB86" s="44">
        <f t="shared" si="19"/>
        <v>0.75</v>
      </c>
      <c r="AC86" s="109"/>
      <c r="AD86" s="44">
        <f t="shared" si="20"/>
        <v>0</v>
      </c>
      <c r="AE86" s="109"/>
      <c r="AF86" s="44">
        <f t="shared" si="21"/>
        <v>0</v>
      </c>
      <c r="AG86" s="109">
        <v>0.75</v>
      </c>
      <c r="AH86" s="44">
        <f t="shared" si="22"/>
        <v>0.75</v>
      </c>
      <c r="AI86" s="109"/>
      <c r="AJ86" s="44">
        <f t="shared" si="23"/>
        <v>0</v>
      </c>
      <c r="AK86" s="109"/>
      <c r="AL86" s="44">
        <f t="shared" si="24"/>
        <v>0</v>
      </c>
      <c r="AM86" s="64">
        <f t="shared" si="25"/>
        <v>3</v>
      </c>
      <c r="AN86" s="65"/>
      <c r="AO86" s="29"/>
    </row>
    <row r="87" spans="1:41">
      <c r="A87" s="106">
        <v>1</v>
      </c>
      <c r="B87" s="110" t="s">
        <v>133</v>
      </c>
      <c r="C87" s="110" t="s">
        <v>784</v>
      </c>
      <c r="D87" s="111" t="s">
        <v>1020</v>
      </c>
      <c r="E87" s="107" t="s">
        <v>1021</v>
      </c>
      <c r="F87" s="107"/>
      <c r="G87" s="107"/>
      <c r="H87" s="106" t="s">
        <v>981</v>
      </c>
      <c r="I87" s="110" t="s">
        <v>1007</v>
      </c>
      <c r="J87" s="106"/>
      <c r="K87" s="107"/>
      <c r="L87" s="107"/>
      <c r="M87" s="107"/>
      <c r="N87" s="112" t="s">
        <v>1054</v>
      </c>
      <c r="O87" s="109">
        <v>0.75</v>
      </c>
      <c r="P87" s="44">
        <f t="shared" si="13"/>
        <v>0.75</v>
      </c>
      <c r="Q87" s="109"/>
      <c r="R87" s="44">
        <f t="shared" si="14"/>
        <v>0</v>
      </c>
      <c r="S87" s="109"/>
      <c r="T87" s="44">
        <f t="shared" si="15"/>
        <v>0</v>
      </c>
      <c r="U87" s="109">
        <v>0.75</v>
      </c>
      <c r="V87" s="44">
        <f t="shared" si="16"/>
        <v>0.75</v>
      </c>
      <c r="W87" s="109"/>
      <c r="X87" s="44">
        <f t="shared" si="17"/>
        <v>0</v>
      </c>
      <c r="Y87" s="109"/>
      <c r="Z87" s="44">
        <f t="shared" si="18"/>
        <v>0</v>
      </c>
      <c r="AA87" s="109">
        <v>0.75</v>
      </c>
      <c r="AB87" s="44">
        <f t="shared" si="19"/>
        <v>0.75</v>
      </c>
      <c r="AC87" s="109"/>
      <c r="AD87" s="44">
        <f t="shared" si="20"/>
        <v>0</v>
      </c>
      <c r="AE87" s="109"/>
      <c r="AF87" s="44">
        <f t="shared" si="21"/>
        <v>0</v>
      </c>
      <c r="AG87" s="109">
        <v>0.75</v>
      </c>
      <c r="AH87" s="44">
        <f t="shared" si="22"/>
        <v>0.75</v>
      </c>
      <c r="AI87" s="109"/>
      <c r="AJ87" s="44">
        <f t="shared" si="23"/>
        <v>0</v>
      </c>
      <c r="AK87" s="109"/>
      <c r="AL87" s="44">
        <f t="shared" si="24"/>
        <v>0</v>
      </c>
      <c r="AM87" s="64">
        <f t="shared" si="25"/>
        <v>3</v>
      </c>
      <c r="AN87" s="65"/>
      <c r="AO87" s="29"/>
    </row>
    <row r="88" spans="1:41">
      <c r="A88" s="106">
        <v>1</v>
      </c>
      <c r="B88" s="110" t="s">
        <v>133</v>
      </c>
      <c r="C88" s="110" t="s">
        <v>784</v>
      </c>
      <c r="D88" s="111" t="s">
        <v>990</v>
      </c>
      <c r="E88" s="107" t="s">
        <v>1022</v>
      </c>
      <c r="F88" s="107"/>
      <c r="G88" s="107"/>
      <c r="H88" s="106" t="s">
        <v>982</v>
      </c>
      <c r="I88" s="110" t="s">
        <v>1048</v>
      </c>
      <c r="J88" s="106"/>
      <c r="K88" s="107"/>
      <c r="L88" s="107"/>
      <c r="M88" s="107"/>
      <c r="N88" s="112" t="s">
        <v>1054</v>
      </c>
      <c r="O88" s="109">
        <v>0.75</v>
      </c>
      <c r="P88" s="44">
        <f t="shared" si="13"/>
        <v>0.75</v>
      </c>
      <c r="Q88" s="109"/>
      <c r="R88" s="44">
        <f t="shared" si="14"/>
        <v>0</v>
      </c>
      <c r="S88" s="109"/>
      <c r="T88" s="44">
        <f t="shared" si="15"/>
        <v>0</v>
      </c>
      <c r="U88" s="109">
        <v>0.75</v>
      </c>
      <c r="V88" s="44">
        <f t="shared" si="16"/>
        <v>0.75</v>
      </c>
      <c r="W88" s="109"/>
      <c r="X88" s="44">
        <f t="shared" si="17"/>
        <v>0</v>
      </c>
      <c r="Y88" s="109"/>
      <c r="Z88" s="44">
        <f t="shared" si="18"/>
        <v>0</v>
      </c>
      <c r="AA88" s="109">
        <v>0.75</v>
      </c>
      <c r="AB88" s="44">
        <f t="shared" si="19"/>
        <v>0.75</v>
      </c>
      <c r="AC88" s="109"/>
      <c r="AD88" s="44">
        <f t="shared" si="20"/>
        <v>0</v>
      </c>
      <c r="AE88" s="109"/>
      <c r="AF88" s="44">
        <f t="shared" si="21"/>
        <v>0</v>
      </c>
      <c r="AG88" s="109">
        <v>0.75</v>
      </c>
      <c r="AH88" s="44">
        <f t="shared" si="22"/>
        <v>0.75</v>
      </c>
      <c r="AI88" s="109"/>
      <c r="AJ88" s="44">
        <f t="shared" si="23"/>
        <v>0</v>
      </c>
      <c r="AK88" s="109"/>
      <c r="AL88" s="44">
        <f t="shared" si="24"/>
        <v>0</v>
      </c>
      <c r="AM88" s="64">
        <f t="shared" si="25"/>
        <v>3</v>
      </c>
      <c r="AN88" s="65"/>
      <c r="AO88" s="29"/>
    </row>
    <row r="89" spans="1:41">
      <c r="A89" s="106">
        <v>1</v>
      </c>
      <c r="B89" s="110" t="s">
        <v>133</v>
      </c>
      <c r="C89" s="110" t="s">
        <v>784</v>
      </c>
      <c r="D89" s="111" t="s">
        <v>990</v>
      </c>
      <c r="E89" s="107" t="s">
        <v>1023</v>
      </c>
      <c r="F89" s="107"/>
      <c r="G89" s="107"/>
      <c r="H89" s="106" t="s">
        <v>983</v>
      </c>
      <c r="I89" s="110" t="s">
        <v>1049</v>
      </c>
      <c r="J89" s="106"/>
      <c r="K89" s="107"/>
      <c r="L89" s="107"/>
      <c r="M89" s="107"/>
      <c r="N89" s="112" t="s">
        <v>1054</v>
      </c>
      <c r="O89" s="109">
        <v>0.75</v>
      </c>
      <c r="P89" s="44">
        <f t="shared" si="13"/>
        <v>0.75</v>
      </c>
      <c r="Q89" s="109"/>
      <c r="R89" s="44">
        <f t="shared" si="14"/>
        <v>0</v>
      </c>
      <c r="S89" s="109"/>
      <c r="T89" s="44">
        <f t="shared" si="15"/>
        <v>0</v>
      </c>
      <c r="U89" s="109">
        <v>0.75</v>
      </c>
      <c r="V89" s="44">
        <f t="shared" si="16"/>
        <v>0.75</v>
      </c>
      <c r="W89" s="109"/>
      <c r="X89" s="44">
        <f t="shared" si="17"/>
        <v>0</v>
      </c>
      <c r="Y89" s="109"/>
      <c r="Z89" s="44">
        <f t="shared" si="18"/>
        <v>0</v>
      </c>
      <c r="AA89" s="109">
        <v>0.75</v>
      </c>
      <c r="AB89" s="44">
        <f t="shared" si="19"/>
        <v>0.75</v>
      </c>
      <c r="AC89" s="109"/>
      <c r="AD89" s="44">
        <f t="shared" si="20"/>
        <v>0</v>
      </c>
      <c r="AE89" s="109"/>
      <c r="AF89" s="44">
        <f t="shared" si="21"/>
        <v>0</v>
      </c>
      <c r="AG89" s="109">
        <v>0.75</v>
      </c>
      <c r="AH89" s="44">
        <f t="shared" si="22"/>
        <v>0.75</v>
      </c>
      <c r="AI89" s="109"/>
      <c r="AJ89" s="44">
        <f t="shared" si="23"/>
        <v>0</v>
      </c>
      <c r="AK89" s="109"/>
      <c r="AL89" s="44">
        <f t="shared" si="24"/>
        <v>0</v>
      </c>
      <c r="AM89" s="64">
        <f t="shared" si="25"/>
        <v>3</v>
      </c>
      <c r="AN89" s="65"/>
      <c r="AO89" s="29"/>
    </row>
    <row r="90" spans="1:41">
      <c r="A90" s="106">
        <v>1</v>
      </c>
      <c r="B90" s="110" t="s">
        <v>133</v>
      </c>
      <c r="C90" s="110" t="s">
        <v>784</v>
      </c>
      <c r="D90" s="111" t="s">
        <v>990</v>
      </c>
      <c r="E90" s="107" t="s">
        <v>1024</v>
      </c>
      <c r="F90" s="107"/>
      <c r="G90" s="107"/>
      <c r="H90" s="106" t="s">
        <v>984</v>
      </c>
      <c r="I90" s="110" t="s">
        <v>1050</v>
      </c>
      <c r="J90" s="106"/>
      <c r="K90" s="107"/>
      <c r="L90" s="107"/>
      <c r="M90" s="107"/>
      <c r="N90" s="112" t="s">
        <v>1054</v>
      </c>
      <c r="O90" s="109">
        <v>0.75</v>
      </c>
      <c r="P90" s="44">
        <f t="shared" si="13"/>
        <v>0.75</v>
      </c>
      <c r="Q90" s="109"/>
      <c r="R90" s="44">
        <f t="shared" si="14"/>
        <v>0</v>
      </c>
      <c r="S90" s="109"/>
      <c r="T90" s="44">
        <f t="shared" si="15"/>
        <v>0</v>
      </c>
      <c r="U90" s="109">
        <v>0.75</v>
      </c>
      <c r="V90" s="44">
        <f t="shared" si="16"/>
        <v>0.75</v>
      </c>
      <c r="W90" s="109"/>
      <c r="X90" s="44">
        <f t="shared" si="17"/>
        <v>0</v>
      </c>
      <c r="Y90" s="109"/>
      <c r="Z90" s="44">
        <f t="shared" si="18"/>
        <v>0</v>
      </c>
      <c r="AA90" s="109">
        <v>0.75</v>
      </c>
      <c r="AB90" s="44">
        <f t="shared" si="19"/>
        <v>0.75</v>
      </c>
      <c r="AC90" s="109"/>
      <c r="AD90" s="44">
        <f t="shared" si="20"/>
        <v>0</v>
      </c>
      <c r="AE90" s="109"/>
      <c r="AF90" s="44">
        <f t="shared" si="21"/>
        <v>0</v>
      </c>
      <c r="AG90" s="109">
        <v>0.75</v>
      </c>
      <c r="AH90" s="44">
        <f t="shared" si="22"/>
        <v>0.75</v>
      </c>
      <c r="AI90" s="109"/>
      <c r="AJ90" s="44">
        <f t="shared" si="23"/>
        <v>0</v>
      </c>
      <c r="AK90" s="109"/>
      <c r="AL90" s="44">
        <f t="shared" si="24"/>
        <v>0</v>
      </c>
      <c r="AM90" s="64">
        <f t="shared" si="25"/>
        <v>3</v>
      </c>
      <c r="AN90" s="65"/>
      <c r="AO90" s="29"/>
    </row>
    <row r="91" spans="1:41">
      <c r="A91" s="106">
        <v>1</v>
      </c>
      <c r="B91" s="110" t="s">
        <v>133</v>
      </c>
      <c r="C91" s="110" t="s">
        <v>784</v>
      </c>
      <c r="D91" s="111" t="s">
        <v>990</v>
      </c>
      <c r="E91" s="107" t="s">
        <v>1025</v>
      </c>
      <c r="F91" s="107"/>
      <c r="G91" s="107"/>
      <c r="H91" s="106" t="s">
        <v>985</v>
      </c>
      <c r="I91" s="110" t="s">
        <v>1051</v>
      </c>
      <c r="J91" s="106"/>
      <c r="K91" s="107"/>
      <c r="L91" s="107"/>
      <c r="M91" s="107"/>
      <c r="N91" s="112" t="s">
        <v>1054</v>
      </c>
      <c r="O91" s="109">
        <v>0.75</v>
      </c>
      <c r="P91" s="44">
        <f t="shared" si="13"/>
        <v>0.75</v>
      </c>
      <c r="Q91" s="109"/>
      <c r="R91" s="44">
        <f t="shared" si="14"/>
        <v>0</v>
      </c>
      <c r="S91" s="109"/>
      <c r="T91" s="44">
        <f t="shared" si="15"/>
        <v>0</v>
      </c>
      <c r="U91" s="109">
        <v>0.75</v>
      </c>
      <c r="V91" s="44">
        <f t="shared" si="16"/>
        <v>0.75</v>
      </c>
      <c r="W91" s="109"/>
      <c r="X91" s="44">
        <f t="shared" si="17"/>
        <v>0</v>
      </c>
      <c r="Y91" s="109"/>
      <c r="Z91" s="44">
        <f t="shared" si="18"/>
        <v>0</v>
      </c>
      <c r="AA91" s="109">
        <v>0.75</v>
      </c>
      <c r="AB91" s="44">
        <f t="shared" si="19"/>
        <v>0.75</v>
      </c>
      <c r="AC91" s="109"/>
      <c r="AD91" s="44">
        <f t="shared" si="20"/>
        <v>0</v>
      </c>
      <c r="AE91" s="109"/>
      <c r="AF91" s="44">
        <f t="shared" si="21"/>
        <v>0</v>
      </c>
      <c r="AG91" s="109">
        <v>0.75</v>
      </c>
      <c r="AH91" s="44">
        <f t="shared" si="22"/>
        <v>0.75</v>
      </c>
      <c r="AI91" s="109"/>
      <c r="AJ91" s="44">
        <f t="shared" si="23"/>
        <v>0</v>
      </c>
      <c r="AK91" s="109"/>
      <c r="AL91" s="44">
        <f t="shared" si="24"/>
        <v>0</v>
      </c>
      <c r="AM91" s="64">
        <f t="shared" si="25"/>
        <v>3</v>
      </c>
      <c r="AN91" s="65"/>
      <c r="AO91" s="29"/>
    </row>
    <row r="92" spans="1:41">
      <c r="A92" s="106">
        <v>1</v>
      </c>
      <c r="B92" s="110" t="s">
        <v>133</v>
      </c>
      <c r="C92" s="110" t="s">
        <v>784</v>
      </c>
      <c r="D92" s="111" t="s">
        <v>990</v>
      </c>
      <c r="E92" s="107" t="s">
        <v>1026</v>
      </c>
      <c r="F92" s="107"/>
      <c r="G92" s="107"/>
      <c r="H92" s="106" t="s">
        <v>986</v>
      </c>
      <c r="I92" s="110" t="s">
        <v>1007</v>
      </c>
      <c r="J92" s="106"/>
      <c r="K92" s="107"/>
      <c r="L92" s="107"/>
      <c r="M92" s="107"/>
      <c r="N92" s="112" t="s">
        <v>1054</v>
      </c>
      <c r="O92" s="109">
        <v>0.75</v>
      </c>
      <c r="P92" s="44">
        <f t="shared" si="13"/>
        <v>0.75</v>
      </c>
      <c r="Q92" s="109"/>
      <c r="R92" s="44">
        <f t="shared" si="14"/>
        <v>0</v>
      </c>
      <c r="S92" s="109"/>
      <c r="T92" s="44">
        <f t="shared" si="15"/>
        <v>0</v>
      </c>
      <c r="U92" s="109">
        <v>0.75</v>
      </c>
      <c r="V92" s="44">
        <f t="shared" si="16"/>
        <v>0.75</v>
      </c>
      <c r="W92" s="109"/>
      <c r="X92" s="44">
        <f t="shared" si="17"/>
        <v>0</v>
      </c>
      <c r="Y92" s="109"/>
      <c r="Z92" s="44">
        <f t="shared" si="18"/>
        <v>0</v>
      </c>
      <c r="AA92" s="109">
        <v>0.75</v>
      </c>
      <c r="AB92" s="44">
        <f t="shared" si="19"/>
        <v>0.75</v>
      </c>
      <c r="AC92" s="109"/>
      <c r="AD92" s="44">
        <f t="shared" si="20"/>
        <v>0</v>
      </c>
      <c r="AE92" s="109"/>
      <c r="AF92" s="44">
        <f t="shared" si="21"/>
        <v>0</v>
      </c>
      <c r="AG92" s="109">
        <v>0.75</v>
      </c>
      <c r="AH92" s="44">
        <f t="shared" si="22"/>
        <v>0.75</v>
      </c>
      <c r="AI92" s="109"/>
      <c r="AJ92" s="44">
        <f t="shared" si="23"/>
        <v>0</v>
      </c>
      <c r="AK92" s="109"/>
      <c r="AL92" s="44">
        <f t="shared" si="24"/>
        <v>0</v>
      </c>
      <c r="AM92" s="64">
        <f t="shared" si="25"/>
        <v>3</v>
      </c>
      <c r="AN92" s="65"/>
      <c r="AO92" s="29"/>
    </row>
    <row r="93" spans="1:41">
      <c r="A93" s="106">
        <v>1</v>
      </c>
      <c r="B93" s="110" t="s">
        <v>133</v>
      </c>
      <c r="C93" s="110" t="s">
        <v>784</v>
      </c>
      <c r="D93" s="111" t="s">
        <v>990</v>
      </c>
      <c r="E93" s="107" t="s">
        <v>1027</v>
      </c>
      <c r="F93" s="107"/>
      <c r="G93" s="107"/>
      <c r="H93" s="106" t="s">
        <v>987</v>
      </c>
      <c r="I93" s="110" t="s">
        <v>1052</v>
      </c>
      <c r="J93" s="106"/>
      <c r="K93" s="107"/>
      <c r="L93" s="107"/>
      <c r="M93" s="107"/>
      <c r="N93" s="112" t="s">
        <v>1054</v>
      </c>
      <c r="O93" s="109">
        <v>0.75</v>
      </c>
      <c r="P93" s="44">
        <f t="shared" si="13"/>
        <v>0.75</v>
      </c>
      <c r="Q93" s="109"/>
      <c r="R93" s="44">
        <f t="shared" si="14"/>
        <v>0</v>
      </c>
      <c r="S93" s="109"/>
      <c r="T93" s="44">
        <f t="shared" si="15"/>
        <v>0</v>
      </c>
      <c r="U93" s="109">
        <v>0.75</v>
      </c>
      <c r="V93" s="44">
        <f t="shared" si="16"/>
        <v>0.75</v>
      </c>
      <c r="W93" s="109"/>
      <c r="X93" s="44">
        <f t="shared" si="17"/>
        <v>0</v>
      </c>
      <c r="Y93" s="109"/>
      <c r="Z93" s="44">
        <f t="shared" si="18"/>
        <v>0</v>
      </c>
      <c r="AA93" s="109">
        <v>0.75</v>
      </c>
      <c r="AB93" s="44">
        <f t="shared" si="19"/>
        <v>0.75</v>
      </c>
      <c r="AC93" s="109"/>
      <c r="AD93" s="44">
        <f t="shared" si="20"/>
        <v>0</v>
      </c>
      <c r="AE93" s="109"/>
      <c r="AF93" s="44">
        <f t="shared" si="21"/>
        <v>0</v>
      </c>
      <c r="AG93" s="109">
        <v>0.75</v>
      </c>
      <c r="AH93" s="44">
        <f t="shared" si="22"/>
        <v>0.75</v>
      </c>
      <c r="AI93" s="109"/>
      <c r="AJ93" s="44">
        <f t="shared" si="23"/>
        <v>0</v>
      </c>
      <c r="AK93" s="109"/>
      <c r="AL93" s="44">
        <f t="shared" si="24"/>
        <v>0</v>
      </c>
      <c r="AM93" s="64">
        <f t="shared" si="25"/>
        <v>3</v>
      </c>
      <c r="AN93" s="65"/>
      <c r="AO93" s="29"/>
    </row>
    <row r="94" spans="1:41">
      <c r="A94" s="106"/>
      <c r="B94" s="110"/>
      <c r="C94" s="110"/>
      <c r="D94" s="111"/>
      <c r="E94" s="107"/>
      <c r="F94" s="107"/>
      <c r="G94" s="107"/>
      <c r="H94" s="106"/>
      <c r="I94" s="110"/>
      <c r="J94" s="106"/>
      <c r="K94" s="107"/>
      <c r="L94" s="107"/>
      <c r="M94" s="105"/>
      <c r="N94" s="108"/>
      <c r="O94" s="109"/>
      <c r="P94" s="44">
        <f t="shared" si="13"/>
        <v>0</v>
      </c>
      <c r="Q94" s="109"/>
      <c r="R94" s="44">
        <f t="shared" si="14"/>
        <v>0</v>
      </c>
      <c r="S94" s="109"/>
      <c r="T94" s="44">
        <f t="shared" si="15"/>
        <v>0</v>
      </c>
      <c r="U94" s="109"/>
      <c r="V94" s="44">
        <f t="shared" si="16"/>
        <v>0</v>
      </c>
      <c r="W94" s="109"/>
      <c r="X94" s="44">
        <f t="shared" si="17"/>
        <v>0</v>
      </c>
      <c r="Y94" s="109"/>
      <c r="Z94" s="44">
        <f t="shared" si="18"/>
        <v>0</v>
      </c>
      <c r="AA94" s="109"/>
      <c r="AB94" s="44">
        <f t="shared" si="19"/>
        <v>0</v>
      </c>
      <c r="AC94" s="109"/>
      <c r="AD94" s="44">
        <f t="shared" si="20"/>
        <v>0</v>
      </c>
      <c r="AE94" s="109"/>
      <c r="AF94" s="44">
        <f t="shared" si="21"/>
        <v>0</v>
      </c>
      <c r="AG94" s="109"/>
      <c r="AH94" s="44">
        <f t="shared" si="22"/>
        <v>0</v>
      </c>
      <c r="AI94" s="109"/>
      <c r="AJ94" s="44">
        <f t="shared" si="23"/>
        <v>0</v>
      </c>
      <c r="AK94" s="109"/>
      <c r="AL94" s="44">
        <f t="shared" si="24"/>
        <v>0</v>
      </c>
      <c r="AM94" s="64">
        <f t="shared" si="25"/>
        <v>0</v>
      </c>
      <c r="AN94" s="65"/>
      <c r="AO94" s="29"/>
    </row>
    <row r="95" spans="1:41">
      <c r="A95" s="106"/>
      <c r="B95" s="110"/>
      <c r="C95" s="110"/>
      <c r="D95" s="111"/>
      <c r="E95" s="107"/>
      <c r="F95" s="107"/>
      <c r="G95" s="107"/>
      <c r="H95" s="106"/>
      <c r="I95" s="110"/>
      <c r="J95" s="106"/>
      <c r="K95" s="107"/>
      <c r="L95" s="107"/>
      <c r="M95" s="105"/>
      <c r="N95" s="108"/>
      <c r="O95" s="109"/>
      <c r="P95" s="44">
        <f t="shared" si="13"/>
        <v>0</v>
      </c>
      <c r="Q95" s="109"/>
      <c r="R95" s="44">
        <f t="shared" si="14"/>
        <v>0</v>
      </c>
      <c r="S95" s="109"/>
      <c r="T95" s="44">
        <f t="shared" si="15"/>
        <v>0</v>
      </c>
      <c r="U95" s="109"/>
      <c r="V95" s="44">
        <f t="shared" si="16"/>
        <v>0</v>
      </c>
      <c r="W95" s="109"/>
      <c r="X95" s="44">
        <f t="shared" si="17"/>
        <v>0</v>
      </c>
      <c r="Y95" s="109"/>
      <c r="Z95" s="44">
        <f t="shared" si="18"/>
        <v>0</v>
      </c>
      <c r="AA95" s="109"/>
      <c r="AB95" s="44">
        <f t="shared" si="19"/>
        <v>0</v>
      </c>
      <c r="AC95" s="109"/>
      <c r="AD95" s="44">
        <f t="shared" si="20"/>
        <v>0</v>
      </c>
      <c r="AE95" s="109"/>
      <c r="AF95" s="44">
        <f t="shared" si="21"/>
        <v>0</v>
      </c>
      <c r="AG95" s="109"/>
      <c r="AH95" s="44">
        <f t="shared" si="22"/>
        <v>0</v>
      </c>
      <c r="AI95" s="109"/>
      <c r="AJ95" s="44">
        <f t="shared" si="23"/>
        <v>0</v>
      </c>
      <c r="AK95" s="109"/>
      <c r="AL95" s="44">
        <f t="shared" si="24"/>
        <v>0</v>
      </c>
      <c r="AM95" s="64">
        <f t="shared" si="25"/>
        <v>0</v>
      </c>
      <c r="AN95" s="65"/>
      <c r="AO95" s="29"/>
    </row>
    <row r="96" spans="1:41">
      <c r="A96" s="106"/>
      <c r="B96" s="110"/>
      <c r="C96" s="110"/>
      <c r="D96" s="111"/>
      <c r="E96" s="107"/>
      <c r="F96" s="107"/>
      <c r="G96" s="107"/>
      <c r="H96" s="106"/>
      <c r="I96" s="110"/>
      <c r="J96" s="106"/>
      <c r="K96" s="107"/>
      <c r="L96" s="107"/>
      <c r="M96" s="105"/>
      <c r="N96" s="108"/>
      <c r="O96" s="109"/>
      <c r="P96" s="44">
        <f t="shared" si="13"/>
        <v>0</v>
      </c>
      <c r="Q96" s="109"/>
      <c r="R96" s="44">
        <f t="shared" si="14"/>
        <v>0</v>
      </c>
      <c r="S96" s="109"/>
      <c r="T96" s="44">
        <f t="shared" si="15"/>
        <v>0</v>
      </c>
      <c r="U96" s="109"/>
      <c r="V96" s="44">
        <f t="shared" si="16"/>
        <v>0</v>
      </c>
      <c r="W96" s="109"/>
      <c r="X96" s="44">
        <f t="shared" si="17"/>
        <v>0</v>
      </c>
      <c r="Y96" s="109"/>
      <c r="Z96" s="44">
        <f t="shared" si="18"/>
        <v>0</v>
      </c>
      <c r="AA96" s="109"/>
      <c r="AB96" s="44">
        <f t="shared" si="19"/>
        <v>0</v>
      </c>
      <c r="AC96" s="109"/>
      <c r="AD96" s="44">
        <f t="shared" si="20"/>
        <v>0</v>
      </c>
      <c r="AE96" s="109"/>
      <c r="AF96" s="44">
        <f t="shared" si="21"/>
        <v>0</v>
      </c>
      <c r="AG96" s="109"/>
      <c r="AH96" s="44">
        <f t="shared" si="22"/>
        <v>0</v>
      </c>
      <c r="AI96" s="109"/>
      <c r="AJ96" s="44">
        <f t="shared" si="23"/>
        <v>0</v>
      </c>
      <c r="AK96" s="109"/>
      <c r="AL96" s="44">
        <f t="shared" si="24"/>
        <v>0</v>
      </c>
      <c r="AM96" s="64">
        <f t="shared" si="25"/>
        <v>0</v>
      </c>
      <c r="AN96" s="65"/>
      <c r="AO96" s="29"/>
    </row>
    <row r="97" spans="1:41">
      <c r="A97" s="106"/>
      <c r="B97" s="110"/>
      <c r="C97" s="110"/>
      <c r="D97" s="111"/>
      <c r="E97" s="107"/>
      <c r="F97" s="107"/>
      <c r="G97" s="107"/>
      <c r="H97" s="106"/>
      <c r="I97" s="110"/>
      <c r="J97" s="106"/>
      <c r="K97" s="107"/>
      <c r="L97" s="107"/>
      <c r="M97" s="107"/>
      <c r="N97" s="112"/>
      <c r="O97" s="109"/>
      <c r="P97" s="44">
        <f t="shared" si="13"/>
        <v>0</v>
      </c>
      <c r="Q97" s="109"/>
      <c r="R97" s="44">
        <f t="shared" si="14"/>
        <v>0</v>
      </c>
      <c r="S97" s="109"/>
      <c r="T97" s="44">
        <f t="shared" si="15"/>
        <v>0</v>
      </c>
      <c r="U97" s="109"/>
      <c r="V97" s="44">
        <f t="shared" si="16"/>
        <v>0</v>
      </c>
      <c r="W97" s="109"/>
      <c r="X97" s="44">
        <f t="shared" si="17"/>
        <v>0</v>
      </c>
      <c r="Y97" s="109"/>
      <c r="Z97" s="44">
        <f t="shared" si="18"/>
        <v>0</v>
      </c>
      <c r="AA97" s="109"/>
      <c r="AB97" s="44">
        <f t="shared" si="19"/>
        <v>0</v>
      </c>
      <c r="AC97" s="109"/>
      <c r="AD97" s="44">
        <f t="shared" si="20"/>
        <v>0</v>
      </c>
      <c r="AE97" s="109"/>
      <c r="AF97" s="44">
        <f t="shared" si="21"/>
        <v>0</v>
      </c>
      <c r="AG97" s="109"/>
      <c r="AH97" s="44">
        <f t="shared" si="22"/>
        <v>0</v>
      </c>
      <c r="AI97" s="109"/>
      <c r="AJ97" s="44">
        <f t="shared" si="23"/>
        <v>0</v>
      </c>
      <c r="AK97" s="109"/>
      <c r="AL97" s="44">
        <f t="shared" si="24"/>
        <v>0</v>
      </c>
      <c r="AM97" s="64">
        <f t="shared" si="25"/>
        <v>0</v>
      </c>
      <c r="AN97" s="65"/>
      <c r="AO97" s="29"/>
    </row>
    <row r="98" spans="1:41">
      <c r="A98" s="106"/>
      <c r="B98" s="110"/>
      <c r="C98" s="110"/>
      <c r="D98" s="111"/>
      <c r="E98" s="107"/>
      <c r="F98" s="107"/>
      <c r="G98" s="107"/>
      <c r="H98" s="106"/>
      <c r="I98" s="110"/>
      <c r="J98" s="106"/>
      <c r="K98" s="107"/>
      <c r="L98" s="107"/>
      <c r="M98" s="107"/>
      <c r="N98" s="112"/>
      <c r="O98" s="109"/>
      <c r="P98" s="44">
        <f t="shared" si="13"/>
        <v>0</v>
      </c>
      <c r="Q98" s="109"/>
      <c r="R98" s="44">
        <f t="shared" si="14"/>
        <v>0</v>
      </c>
      <c r="S98" s="109"/>
      <c r="T98" s="44">
        <f t="shared" si="15"/>
        <v>0</v>
      </c>
      <c r="U98" s="109"/>
      <c r="V98" s="44">
        <f t="shared" si="16"/>
        <v>0</v>
      </c>
      <c r="W98" s="109"/>
      <c r="X98" s="44">
        <f t="shared" si="17"/>
        <v>0</v>
      </c>
      <c r="Y98" s="109"/>
      <c r="Z98" s="44">
        <f t="shared" si="18"/>
        <v>0</v>
      </c>
      <c r="AA98" s="109"/>
      <c r="AB98" s="44">
        <f t="shared" si="19"/>
        <v>0</v>
      </c>
      <c r="AC98" s="109"/>
      <c r="AD98" s="44">
        <f t="shared" si="20"/>
        <v>0</v>
      </c>
      <c r="AE98" s="109"/>
      <c r="AF98" s="44">
        <f t="shared" si="21"/>
        <v>0</v>
      </c>
      <c r="AG98" s="109"/>
      <c r="AH98" s="44">
        <f t="shared" si="22"/>
        <v>0</v>
      </c>
      <c r="AI98" s="109"/>
      <c r="AJ98" s="44">
        <f t="shared" si="23"/>
        <v>0</v>
      </c>
      <c r="AK98" s="109"/>
      <c r="AL98" s="44">
        <f t="shared" si="24"/>
        <v>0</v>
      </c>
      <c r="AM98" s="64">
        <f t="shared" si="25"/>
        <v>0</v>
      </c>
      <c r="AN98" s="65"/>
      <c r="AO98" s="29"/>
    </row>
    <row r="99" spans="1:41" ht="13.5" thickBot="1">
      <c r="A99" s="113"/>
      <c r="B99" s="114"/>
      <c r="C99" s="114"/>
      <c r="D99" s="115"/>
      <c r="E99" s="116"/>
      <c r="F99" s="116"/>
      <c r="G99" s="116"/>
      <c r="H99" s="113"/>
      <c r="I99" s="114"/>
      <c r="J99" s="113"/>
      <c r="K99" s="117"/>
      <c r="L99" s="117"/>
      <c r="M99" s="116"/>
      <c r="N99" s="118"/>
      <c r="O99" s="109"/>
      <c r="P99" s="44">
        <f t="shared" si="13"/>
        <v>0</v>
      </c>
      <c r="Q99" s="109"/>
      <c r="R99" s="44">
        <f t="shared" si="14"/>
        <v>0</v>
      </c>
      <c r="S99" s="109"/>
      <c r="T99" s="44">
        <f t="shared" si="15"/>
        <v>0</v>
      </c>
      <c r="U99" s="109"/>
      <c r="V99" s="44">
        <f t="shared" si="16"/>
        <v>0</v>
      </c>
      <c r="W99" s="109"/>
      <c r="X99" s="44">
        <f t="shared" si="17"/>
        <v>0</v>
      </c>
      <c r="Y99" s="109"/>
      <c r="Z99" s="44">
        <f t="shared" si="18"/>
        <v>0</v>
      </c>
      <c r="AA99" s="109"/>
      <c r="AB99" s="44">
        <f t="shared" si="19"/>
        <v>0</v>
      </c>
      <c r="AC99" s="109"/>
      <c r="AD99" s="44">
        <f t="shared" si="20"/>
        <v>0</v>
      </c>
      <c r="AE99" s="109"/>
      <c r="AF99" s="44">
        <f t="shared" si="21"/>
        <v>0</v>
      </c>
      <c r="AG99" s="109"/>
      <c r="AH99" s="44">
        <f t="shared" si="22"/>
        <v>0</v>
      </c>
      <c r="AI99" s="109"/>
      <c r="AJ99" s="44">
        <f t="shared" si="23"/>
        <v>0</v>
      </c>
      <c r="AK99" s="109"/>
      <c r="AL99" s="44">
        <f t="shared" si="24"/>
        <v>0</v>
      </c>
      <c r="AM99" s="64">
        <f t="shared" si="25"/>
        <v>0</v>
      </c>
      <c r="AN99" s="65"/>
      <c r="AO99" s="29"/>
    </row>
    <row r="100" spans="1:41" ht="14.25" thickTop="1" thickBot="1">
      <c r="G100"/>
      <c r="K100" s="19"/>
      <c r="L100" s="10" t="s">
        <v>137</v>
      </c>
      <c r="M100" s="28"/>
      <c r="N100" s="28"/>
      <c r="O100" s="673">
        <f>SUM(P6:P99)</f>
        <v>56.5</v>
      </c>
      <c r="P100" s="677"/>
      <c r="Q100" s="673">
        <f>SUM(R6:R99)</f>
        <v>0</v>
      </c>
      <c r="R100" s="674"/>
      <c r="S100" s="673">
        <f>SUM(T6:T99)</f>
        <v>0</v>
      </c>
      <c r="T100" s="674"/>
      <c r="U100" s="673">
        <f>SUM(V6:V99)</f>
        <v>63.25</v>
      </c>
      <c r="V100" s="674"/>
      <c r="W100" s="673">
        <f>SUM(X6:X99)</f>
        <v>0</v>
      </c>
      <c r="X100" s="674"/>
      <c r="Y100" s="673">
        <f>SUM(Z6:Z99)</f>
        <v>0</v>
      </c>
      <c r="Z100" s="674"/>
      <c r="AA100" s="673">
        <f>SUM(AB6:AB99)</f>
        <v>53.25</v>
      </c>
      <c r="AB100" s="674"/>
      <c r="AC100" s="673">
        <f>SUM(AD6:AD99)</f>
        <v>0</v>
      </c>
      <c r="AD100" s="674"/>
      <c r="AE100" s="673">
        <f>SUM(AF6:AF99)</f>
        <v>0</v>
      </c>
      <c r="AF100" s="674"/>
      <c r="AG100" s="673">
        <f>SUM(AH6:AH99)</f>
        <v>78.75</v>
      </c>
      <c r="AH100" s="674"/>
      <c r="AI100" s="673">
        <f>SUM(AJ6:AJ99)</f>
        <v>0</v>
      </c>
      <c r="AJ100" s="674"/>
      <c r="AK100" s="673">
        <f>SUM(AL6:AL99)</f>
        <v>0</v>
      </c>
      <c r="AL100" s="674"/>
      <c r="AM100" s="66">
        <f>SUM(AM6:AN99)</f>
        <v>251.75</v>
      </c>
      <c r="AN100" s="67"/>
      <c r="AO100" s="52"/>
    </row>
    <row r="101" spans="1:41">
      <c r="G101"/>
      <c r="K101" s="20"/>
      <c r="L101" s="24"/>
      <c r="M101" s="45"/>
      <c r="N101" s="45"/>
      <c r="O101" s="671" t="s">
        <v>1184</v>
      </c>
      <c r="P101" s="672"/>
      <c r="Q101" s="671" t="s">
        <v>1183</v>
      </c>
      <c r="R101" s="672"/>
      <c r="S101" s="671" t="s">
        <v>1182</v>
      </c>
      <c r="T101" s="672"/>
      <c r="U101" s="671" t="s">
        <v>1178</v>
      </c>
      <c r="V101" s="672"/>
      <c r="W101" s="671" t="s">
        <v>1179</v>
      </c>
      <c r="X101" s="672"/>
      <c r="Y101" s="671" t="s">
        <v>1180</v>
      </c>
      <c r="Z101" s="672"/>
      <c r="AA101" s="671" t="s">
        <v>1181</v>
      </c>
      <c r="AB101" s="672"/>
      <c r="AC101" s="671" t="s">
        <v>1185</v>
      </c>
      <c r="AD101" s="672"/>
      <c r="AE101" s="671" t="s">
        <v>1186</v>
      </c>
      <c r="AF101" s="672"/>
      <c r="AG101" s="671" t="s">
        <v>1187</v>
      </c>
      <c r="AH101" s="672"/>
      <c r="AI101" s="671" t="s">
        <v>1188</v>
      </c>
      <c r="AJ101" s="672"/>
      <c r="AK101" s="671" t="s">
        <v>1189</v>
      </c>
      <c r="AL101" s="672"/>
      <c r="AM101" s="68"/>
      <c r="AN101" s="69"/>
      <c r="AO101" s="52"/>
    </row>
    <row r="102" spans="1:41" ht="13.5" thickBot="1">
      <c r="D102" s="1"/>
      <c r="E102" s="27"/>
      <c r="G102"/>
      <c r="K102" s="20"/>
      <c r="M102" s="21"/>
      <c r="N102" s="45" t="s">
        <v>135</v>
      </c>
      <c r="O102" s="46" t="s">
        <v>12</v>
      </c>
      <c r="P102" s="47" t="s">
        <v>6</v>
      </c>
      <c r="Q102" s="46" t="s">
        <v>12</v>
      </c>
      <c r="R102" s="47" t="s">
        <v>6</v>
      </c>
      <c r="S102" s="46" t="s">
        <v>12</v>
      </c>
      <c r="T102" s="47" t="s">
        <v>6</v>
      </c>
      <c r="U102" s="46" t="s">
        <v>12</v>
      </c>
      <c r="V102" s="47" t="s">
        <v>6</v>
      </c>
      <c r="W102" s="46" t="s">
        <v>12</v>
      </c>
      <c r="X102" s="47" t="s">
        <v>6</v>
      </c>
      <c r="Y102" s="46" t="s">
        <v>12</v>
      </c>
      <c r="Z102" s="47" t="s">
        <v>6</v>
      </c>
      <c r="AA102" s="46" t="s">
        <v>12</v>
      </c>
      <c r="AB102" s="47" t="s">
        <v>6</v>
      </c>
      <c r="AC102" s="46" t="s">
        <v>12</v>
      </c>
      <c r="AD102" s="47" t="s">
        <v>6</v>
      </c>
      <c r="AE102" s="46" t="s">
        <v>12</v>
      </c>
      <c r="AF102" s="47" t="s">
        <v>6</v>
      </c>
      <c r="AG102" s="46" t="s">
        <v>12</v>
      </c>
      <c r="AH102" s="47" t="s">
        <v>6</v>
      </c>
      <c r="AI102" s="46" t="s">
        <v>12</v>
      </c>
      <c r="AJ102" s="47" t="s">
        <v>6</v>
      </c>
      <c r="AK102" s="46" t="s">
        <v>12</v>
      </c>
      <c r="AL102" s="47" t="s">
        <v>6</v>
      </c>
      <c r="AM102" s="46" t="s">
        <v>12</v>
      </c>
      <c r="AN102" s="70" t="s">
        <v>6</v>
      </c>
      <c r="AO102" s="1"/>
    </row>
    <row r="103" spans="1:41" ht="13.5" thickTop="1">
      <c r="G103" s="22"/>
      <c r="M103" s="22"/>
      <c r="N103" s="24" t="s">
        <v>2</v>
      </c>
      <c r="O103" s="119"/>
      <c r="P103" s="120"/>
      <c r="Q103" s="119"/>
      <c r="R103" s="120"/>
      <c r="S103" s="119"/>
      <c r="T103" s="120"/>
      <c r="U103" s="119">
        <v>215</v>
      </c>
      <c r="V103" s="55">
        <f>SUM(J6:J99)</f>
        <v>16</v>
      </c>
      <c r="W103" s="119"/>
      <c r="X103" s="120"/>
      <c r="Y103" s="119"/>
      <c r="Z103" s="120"/>
      <c r="AA103" s="119"/>
      <c r="AB103" s="120"/>
      <c r="AC103" s="119"/>
      <c r="AD103" s="120"/>
      <c r="AE103" s="119"/>
      <c r="AF103" s="120"/>
      <c r="AG103" s="119"/>
      <c r="AH103" s="120"/>
      <c r="AI103" s="119"/>
      <c r="AJ103" s="120"/>
      <c r="AK103" s="119"/>
      <c r="AL103" s="120"/>
      <c r="AM103" s="71">
        <f t="shared" ref="AM103:AM108" si="26">SUM(AC103+AA103+Y103+W103+U103+S103+Q103+O103+AE103+AG103+AI103+AK103)</f>
        <v>215</v>
      </c>
      <c r="AN103" s="49">
        <f t="shared" ref="AN103:AN108" si="27">SUM(P103+R103+T103+V103+X103+Z103+AB103+AD103+AF103+AH103+AJ103+AL103)</f>
        <v>16</v>
      </c>
      <c r="AO103" s="29"/>
    </row>
    <row r="104" spans="1:41">
      <c r="G104" s="22"/>
      <c r="M104" s="22"/>
      <c r="N104" s="24" t="s">
        <v>3</v>
      </c>
      <c r="O104" s="119"/>
      <c r="P104" s="120"/>
      <c r="Q104" s="119"/>
      <c r="R104" s="120"/>
      <c r="S104" s="119"/>
      <c r="T104" s="120"/>
      <c r="U104" s="119"/>
      <c r="V104" s="120"/>
      <c r="W104" s="119"/>
      <c r="X104" s="120"/>
      <c r="Y104" s="119"/>
      <c r="Z104" s="120"/>
      <c r="AA104" s="119"/>
      <c r="AB104" s="120"/>
      <c r="AC104" s="119"/>
      <c r="AD104" s="120"/>
      <c r="AE104" s="119"/>
      <c r="AF104" s="120"/>
      <c r="AG104" s="119">
        <v>246</v>
      </c>
      <c r="AH104" s="120"/>
      <c r="AI104" s="119"/>
      <c r="AJ104" s="120"/>
      <c r="AK104" s="119"/>
      <c r="AL104" s="120"/>
      <c r="AM104" s="72">
        <f t="shared" si="26"/>
        <v>246</v>
      </c>
      <c r="AN104" s="49">
        <f t="shared" si="27"/>
        <v>0</v>
      </c>
      <c r="AO104" s="29"/>
    </row>
    <row r="105" spans="1:41">
      <c r="G105" s="22"/>
      <c r="M105" s="22"/>
      <c r="N105" s="24" t="s">
        <v>4</v>
      </c>
      <c r="O105" s="119"/>
      <c r="P105" s="120"/>
      <c r="Q105" s="119"/>
      <c r="R105" s="120"/>
      <c r="S105" s="119"/>
      <c r="T105" s="120"/>
      <c r="U105" s="119"/>
      <c r="V105" s="120"/>
      <c r="W105" s="119"/>
      <c r="X105" s="120"/>
      <c r="Y105" s="119"/>
      <c r="Z105" s="120"/>
      <c r="AA105" s="119"/>
      <c r="AB105" s="120"/>
      <c r="AC105" s="119"/>
      <c r="AD105" s="120"/>
      <c r="AE105" s="119"/>
      <c r="AF105" s="120"/>
      <c r="AG105" s="119"/>
      <c r="AH105" s="120"/>
      <c r="AI105" s="119"/>
      <c r="AJ105" s="120"/>
      <c r="AK105" s="119"/>
      <c r="AL105" s="120"/>
      <c r="AM105" s="72">
        <f t="shared" si="26"/>
        <v>0</v>
      </c>
      <c r="AN105" s="49">
        <f t="shared" si="27"/>
        <v>0</v>
      </c>
      <c r="AO105" s="29"/>
    </row>
    <row r="106" spans="1:41">
      <c r="G106" s="22"/>
      <c r="M106" s="22"/>
      <c r="N106" s="24" t="s">
        <v>102</v>
      </c>
      <c r="O106" s="119"/>
      <c r="P106" s="120"/>
      <c r="Q106" s="119"/>
      <c r="R106" s="120"/>
      <c r="S106" s="119"/>
      <c r="T106" s="120"/>
      <c r="U106" s="119"/>
      <c r="V106" s="120"/>
      <c r="W106" s="119"/>
      <c r="X106" s="120"/>
      <c r="Y106" s="119"/>
      <c r="Z106" s="120"/>
      <c r="AA106" s="119"/>
      <c r="AB106" s="120"/>
      <c r="AC106" s="119"/>
      <c r="AD106" s="120"/>
      <c r="AE106" s="119"/>
      <c r="AF106" s="120"/>
      <c r="AG106" s="119"/>
      <c r="AH106" s="120"/>
      <c r="AI106" s="119"/>
      <c r="AJ106" s="120"/>
      <c r="AK106" s="119"/>
      <c r="AL106" s="120"/>
      <c r="AM106" s="72">
        <f t="shared" si="26"/>
        <v>0</v>
      </c>
      <c r="AN106" s="49">
        <f t="shared" si="27"/>
        <v>0</v>
      </c>
      <c r="AO106" s="29"/>
    </row>
    <row r="107" spans="1:41">
      <c r="G107" s="23"/>
      <c r="M107" s="23"/>
      <c r="N107" s="24" t="s">
        <v>143</v>
      </c>
      <c r="O107" s="119"/>
      <c r="P107" s="120"/>
      <c r="Q107" s="119"/>
      <c r="R107" s="120"/>
      <c r="S107" s="119"/>
      <c r="T107" s="120"/>
      <c r="U107" s="119"/>
      <c r="V107" s="120"/>
      <c r="W107" s="119"/>
      <c r="X107" s="120"/>
      <c r="Y107" s="119"/>
      <c r="Z107" s="120"/>
      <c r="AA107" s="119"/>
      <c r="AB107" s="120"/>
      <c r="AC107" s="119"/>
      <c r="AD107" s="120"/>
      <c r="AE107" s="119"/>
      <c r="AF107" s="120"/>
      <c r="AG107" s="119"/>
      <c r="AH107" s="120"/>
      <c r="AI107" s="119"/>
      <c r="AJ107" s="120"/>
      <c r="AK107" s="119"/>
      <c r="AL107" s="120"/>
      <c r="AM107" s="72">
        <f t="shared" si="26"/>
        <v>0</v>
      </c>
      <c r="AN107" s="49">
        <f t="shared" si="27"/>
        <v>0</v>
      </c>
      <c r="AO107" s="29"/>
    </row>
    <row r="108" spans="1:41" ht="13.5" thickBot="1">
      <c r="G108" s="22"/>
      <c r="M108" s="22"/>
      <c r="N108" s="24" t="s">
        <v>5</v>
      </c>
      <c r="O108" s="121"/>
      <c r="P108" s="122"/>
      <c r="Q108" s="121"/>
      <c r="R108" s="122"/>
      <c r="S108" s="121"/>
      <c r="T108" s="122"/>
      <c r="U108" s="121"/>
      <c r="V108" s="122"/>
      <c r="W108" s="121"/>
      <c r="X108" s="122"/>
      <c r="Y108" s="121"/>
      <c r="Z108" s="122"/>
      <c r="AA108" s="121"/>
      <c r="AB108" s="122"/>
      <c r="AC108" s="121"/>
      <c r="AD108" s="122"/>
      <c r="AE108" s="121"/>
      <c r="AF108" s="122"/>
      <c r="AG108" s="121"/>
      <c r="AH108" s="122"/>
      <c r="AI108" s="121"/>
      <c r="AJ108" s="122"/>
      <c r="AK108" s="121"/>
      <c r="AL108" s="122"/>
      <c r="AM108" s="73">
        <f t="shared" si="26"/>
        <v>0</v>
      </c>
      <c r="AN108" s="74">
        <f t="shared" si="27"/>
        <v>0</v>
      </c>
      <c r="AO108" s="29"/>
    </row>
    <row r="109" spans="1:41" ht="13.5" thickTop="1">
      <c r="G109" s="24"/>
      <c r="M109" s="24"/>
      <c r="N109" s="24" t="s">
        <v>136</v>
      </c>
      <c r="O109" s="48">
        <f t="shared" ref="O109:AN109" si="28">SUM(O103:O108)</f>
        <v>0</v>
      </c>
      <c r="P109" s="49">
        <f t="shared" si="28"/>
        <v>0</v>
      </c>
      <c r="Q109" s="48">
        <f t="shared" si="28"/>
        <v>0</v>
      </c>
      <c r="R109" s="49">
        <f t="shared" si="28"/>
        <v>0</v>
      </c>
      <c r="S109" s="48">
        <f t="shared" si="28"/>
        <v>0</v>
      </c>
      <c r="T109" s="49">
        <f t="shared" si="28"/>
        <v>0</v>
      </c>
      <c r="U109" s="48">
        <f t="shared" si="28"/>
        <v>215</v>
      </c>
      <c r="V109" s="49">
        <f t="shared" si="28"/>
        <v>16</v>
      </c>
      <c r="W109" s="48">
        <f t="shared" si="28"/>
        <v>0</v>
      </c>
      <c r="X109" s="49">
        <f t="shared" si="28"/>
        <v>0</v>
      </c>
      <c r="Y109" s="48">
        <f t="shared" si="28"/>
        <v>0</v>
      </c>
      <c r="Z109" s="49">
        <f t="shared" si="28"/>
        <v>0</v>
      </c>
      <c r="AA109" s="48">
        <f t="shared" si="28"/>
        <v>0</v>
      </c>
      <c r="AB109" s="49">
        <f t="shared" si="28"/>
        <v>0</v>
      </c>
      <c r="AC109" s="48">
        <f t="shared" si="28"/>
        <v>0</v>
      </c>
      <c r="AD109" s="49">
        <f t="shared" si="28"/>
        <v>0</v>
      </c>
      <c r="AE109" s="48">
        <f t="shared" si="28"/>
        <v>0</v>
      </c>
      <c r="AF109" s="49">
        <f t="shared" si="28"/>
        <v>0</v>
      </c>
      <c r="AG109" s="48">
        <f t="shared" si="28"/>
        <v>246</v>
      </c>
      <c r="AH109" s="49">
        <f t="shared" si="28"/>
        <v>0</v>
      </c>
      <c r="AI109" s="48">
        <f t="shared" si="28"/>
        <v>0</v>
      </c>
      <c r="AJ109" s="49">
        <f t="shared" si="28"/>
        <v>0</v>
      </c>
      <c r="AK109" s="48">
        <f t="shared" si="28"/>
        <v>0</v>
      </c>
      <c r="AL109" s="49">
        <f t="shared" si="28"/>
        <v>0</v>
      </c>
      <c r="AM109" s="48">
        <f t="shared" si="28"/>
        <v>461</v>
      </c>
      <c r="AN109" s="75">
        <f t="shared" si="28"/>
        <v>16</v>
      </c>
      <c r="AO109" s="53"/>
    </row>
    <row r="110" spans="1:41" ht="13.5" thickBot="1">
      <c r="G110" s="1"/>
      <c r="M110" s="1"/>
      <c r="N110" s="1" t="s">
        <v>103</v>
      </c>
      <c r="O110" s="50"/>
      <c r="P110" s="51">
        <f>O100+P109</f>
        <v>56.5</v>
      </c>
      <c r="Q110" s="50"/>
      <c r="R110" s="51">
        <f>Q100+R109</f>
        <v>0</v>
      </c>
      <c r="S110" s="50"/>
      <c r="T110" s="51">
        <f>S100+T109</f>
        <v>0</v>
      </c>
      <c r="U110" s="50"/>
      <c r="V110" s="51">
        <f>U100+V109</f>
        <v>79.25</v>
      </c>
      <c r="W110" s="50"/>
      <c r="X110" s="51">
        <f>W100+X109</f>
        <v>0</v>
      </c>
      <c r="Y110" s="50"/>
      <c r="Z110" s="51">
        <f>Y100+Z109</f>
        <v>0</v>
      </c>
      <c r="AA110" s="50"/>
      <c r="AB110" s="51">
        <f>AA100+AB109</f>
        <v>53.25</v>
      </c>
      <c r="AC110" s="50"/>
      <c r="AD110" s="51">
        <f>AC100+AD109</f>
        <v>0</v>
      </c>
      <c r="AE110" s="50"/>
      <c r="AF110" s="51">
        <f>AE100+AF109</f>
        <v>0</v>
      </c>
      <c r="AG110" s="50"/>
      <c r="AH110" s="51">
        <f>AG100+AH109</f>
        <v>78.75</v>
      </c>
      <c r="AI110" s="50"/>
      <c r="AJ110" s="51">
        <f>AI100+AJ109</f>
        <v>0</v>
      </c>
      <c r="AK110" s="50"/>
      <c r="AL110" s="51">
        <f>AK100+AL109</f>
        <v>0</v>
      </c>
      <c r="AM110" s="76"/>
      <c r="AN110" s="77">
        <f>AM100+AN109</f>
        <v>267.75</v>
      </c>
      <c r="AO110" s="54"/>
    </row>
  </sheetData>
  <mergeCells count="40">
    <mergeCell ref="AA4:AB4"/>
    <mergeCell ref="AC4:AD4"/>
    <mergeCell ref="C1:F1"/>
    <mergeCell ref="C2:F2"/>
    <mergeCell ref="C3:F3"/>
    <mergeCell ref="C4:F4"/>
    <mergeCell ref="O4:P4"/>
    <mergeCell ref="Q4:R4"/>
    <mergeCell ref="Y100:Z100"/>
    <mergeCell ref="S4:T4"/>
    <mergeCell ref="U4:V4"/>
    <mergeCell ref="W4:X4"/>
    <mergeCell ref="Y4:Z4"/>
    <mergeCell ref="O100:P100"/>
    <mergeCell ref="Q100:R100"/>
    <mergeCell ref="S100:T100"/>
    <mergeCell ref="U100:V100"/>
    <mergeCell ref="W100:X100"/>
    <mergeCell ref="AK100:AL100"/>
    <mergeCell ref="AE4:AF4"/>
    <mergeCell ref="AG4:AH4"/>
    <mergeCell ref="AI4:AJ4"/>
    <mergeCell ref="AK4:AL4"/>
    <mergeCell ref="AA100:AB100"/>
    <mergeCell ref="AC100:AD100"/>
    <mergeCell ref="AE100:AF100"/>
    <mergeCell ref="AG100:AH100"/>
    <mergeCell ref="AI100:AJ100"/>
    <mergeCell ref="AK101:AL101"/>
    <mergeCell ref="O101:P101"/>
    <mergeCell ref="Q101:R101"/>
    <mergeCell ref="S101:T101"/>
    <mergeCell ref="U101:V101"/>
    <mergeCell ref="W101:X101"/>
    <mergeCell ref="Y101:Z101"/>
    <mergeCell ref="AA101:AB101"/>
    <mergeCell ref="AC101:AD101"/>
    <mergeCell ref="AE101:AF101"/>
    <mergeCell ref="AG101:AH101"/>
    <mergeCell ref="AI101:AJ101"/>
  </mergeCell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showInputMessage="1" showErrorMessage="1" xr:uid="{9B90F8F6-9859-4A36-B50D-22379F70B5D4}">
          <x14:formula1>
            <xm:f>'HIDE - EQUIP TYPES'!$B$3:$B$156</xm:f>
          </x14:formula1>
          <xm:sqref>B6:B99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F2DC7-35C7-40A0-B373-E1F944FE72C8}">
  <sheetPr>
    <tabColor rgb="FF92D050"/>
  </sheetPr>
  <dimension ref="B2:J81"/>
  <sheetViews>
    <sheetView workbookViewId="0">
      <selection activeCell="E70" sqref="E70"/>
    </sheetView>
  </sheetViews>
  <sheetFormatPr defaultRowHeight="15"/>
  <cols>
    <col min="1" max="1" width="9.140625" style="381"/>
    <col min="2" max="2" width="14.7109375" style="381" customWidth="1"/>
    <col min="3" max="5" width="9.140625" style="381"/>
    <col min="6" max="6" width="14.7109375" style="381" customWidth="1"/>
    <col min="7" max="7" width="9.140625" style="381"/>
    <col min="8" max="8" width="11" style="381" customWidth="1"/>
    <col min="9" max="9" width="13.85546875" style="381" customWidth="1"/>
    <col min="10" max="10" width="9.5703125" style="381" customWidth="1"/>
    <col min="11" max="16384" width="9.140625" style="381"/>
  </cols>
  <sheetData>
    <row r="2" spans="2:10" ht="15.75" thickBot="1"/>
    <row r="3" spans="2:10" ht="15.75">
      <c r="B3" s="382" t="s">
        <v>1502</v>
      </c>
      <c r="C3" s="383"/>
      <c r="D3" s="383"/>
      <c r="E3" s="383"/>
      <c r="F3" s="383"/>
      <c r="G3" s="383"/>
      <c r="H3" s="383"/>
      <c r="I3" s="383"/>
      <c r="J3" s="384"/>
    </row>
    <row r="4" spans="2:10">
      <c r="B4" s="385"/>
      <c r="J4" s="386"/>
    </row>
    <row r="5" spans="2:10">
      <c r="B5" s="385"/>
      <c r="E5" s="381" t="s">
        <v>1503</v>
      </c>
      <c r="J5" s="386"/>
    </row>
    <row r="6" spans="2:10" ht="45">
      <c r="B6" s="387" t="s">
        <v>1504</v>
      </c>
      <c r="C6" s="388" t="s">
        <v>1504</v>
      </c>
      <c r="D6" s="388" t="s">
        <v>1505</v>
      </c>
      <c r="E6" s="388" t="s">
        <v>1506</v>
      </c>
      <c r="F6" s="388" t="s">
        <v>1507</v>
      </c>
      <c r="G6" s="388" t="s">
        <v>1508</v>
      </c>
      <c r="H6" s="388" t="s">
        <v>1507</v>
      </c>
      <c r="I6" s="388"/>
      <c r="J6" s="389"/>
    </row>
    <row r="7" spans="2:10">
      <c r="B7" s="385" t="s">
        <v>1509</v>
      </c>
      <c r="C7" s="381" t="s">
        <v>1510</v>
      </c>
      <c r="D7" s="381" t="s">
        <v>1511</v>
      </c>
      <c r="J7" s="386"/>
    </row>
    <row r="8" spans="2:10">
      <c r="B8" s="385" t="s">
        <v>1512</v>
      </c>
      <c r="C8" s="381">
        <v>1</v>
      </c>
      <c r="D8" s="390">
        <v>0</v>
      </c>
      <c r="E8" s="391">
        <v>0</v>
      </c>
      <c r="F8" s="381" t="s">
        <v>1513</v>
      </c>
      <c r="I8" s="381" t="s">
        <v>1512</v>
      </c>
      <c r="J8" s="392">
        <f>D8+E8+G8</f>
        <v>0</v>
      </c>
    </row>
    <row r="9" spans="2:10">
      <c r="B9" s="385" t="s">
        <v>1514</v>
      </c>
      <c r="C9" s="381">
        <v>1</v>
      </c>
      <c r="D9" s="390">
        <v>0.05</v>
      </c>
      <c r="E9" s="391">
        <v>5.0000000000000001E-3</v>
      </c>
      <c r="F9" s="381" t="s">
        <v>1513</v>
      </c>
      <c r="I9" s="381" t="s">
        <v>1514</v>
      </c>
      <c r="J9" s="392">
        <f>D9+E9+G9</f>
        <v>5.5E-2</v>
      </c>
    </row>
    <row r="10" spans="2:10">
      <c r="B10" s="385" t="s">
        <v>1515</v>
      </c>
      <c r="C10" s="381">
        <v>2</v>
      </c>
      <c r="D10" s="390">
        <v>0.05</v>
      </c>
      <c r="E10" s="391">
        <v>5.0000000000000001E-3</v>
      </c>
      <c r="F10" s="381" t="s">
        <v>1516</v>
      </c>
      <c r="I10" s="381" t="s">
        <v>1515</v>
      </c>
      <c r="J10" s="392">
        <f t="shared" ref="J10:J73" si="0">D10+E10+G10</f>
        <v>5.5E-2</v>
      </c>
    </row>
    <row r="11" spans="2:10">
      <c r="B11" s="385" t="s">
        <v>1517</v>
      </c>
      <c r="C11" s="381">
        <v>3</v>
      </c>
      <c r="D11" s="390">
        <v>0.05</v>
      </c>
      <c r="E11" s="391">
        <v>5.0000000000000001E-3</v>
      </c>
      <c r="F11" s="381" t="s">
        <v>1518</v>
      </c>
      <c r="I11" s="381" t="s">
        <v>1517</v>
      </c>
      <c r="J11" s="392">
        <f t="shared" si="0"/>
        <v>5.5E-2</v>
      </c>
    </row>
    <row r="12" spans="2:10">
      <c r="B12" s="385" t="s">
        <v>1519</v>
      </c>
      <c r="C12" s="381">
        <v>4</v>
      </c>
      <c r="D12" s="390">
        <v>0.05</v>
      </c>
      <c r="E12" s="391">
        <v>5.0000000000000001E-3</v>
      </c>
      <c r="F12" s="381" t="s">
        <v>1520</v>
      </c>
      <c r="I12" s="381" t="s">
        <v>1519</v>
      </c>
      <c r="J12" s="392">
        <f t="shared" si="0"/>
        <v>5.5E-2</v>
      </c>
    </row>
    <row r="13" spans="2:10">
      <c r="B13" s="385" t="s">
        <v>1521</v>
      </c>
      <c r="C13" s="381">
        <v>5</v>
      </c>
      <c r="D13" s="390">
        <v>0.05</v>
      </c>
      <c r="E13" s="391">
        <v>5.0000000000000001E-3</v>
      </c>
      <c r="F13" s="381" t="s">
        <v>1522</v>
      </c>
      <c r="I13" s="381" t="s">
        <v>1521</v>
      </c>
      <c r="J13" s="392">
        <f t="shared" si="0"/>
        <v>5.5E-2</v>
      </c>
    </row>
    <row r="14" spans="2:10">
      <c r="B14" s="385" t="s">
        <v>1523</v>
      </c>
      <c r="C14" s="381">
        <v>6</v>
      </c>
      <c r="D14" s="390">
        <v>0.05</v>
      </c>
      <c r="E14" s="391">
        <v>5.0000000000000001E-3</v>
      </c>
      <c r="F14" s="381" t="s">
        <v>1524</v>
      </c>
      <c r="I14" s="381" t="s">
        <v>1523</v>
      </c>
      <c r="J14" s="392">
        <f t="shared" si="0"/>
        <v>5.5E-2</v>
      </c>
    </row>
    <row r="15" spans="2:10">
      <c r="B15" s="385" t="s">
        <v>1525</v>
      </c>
      <c r="C15" s="381">
        <v>7</v>
      </c>
      <c r="D15" s="390">
        <v>0.05</v>
      </c>
      <c r="E15" s="391">
        <v>5.0000000000000001E-3</v>
      </c>
      <c r="F15" s="381" t="s">
        <v>1526</v>
      </c>
      <c r="I15" s="381" t="s">
        <v>1525</v>
      </c>
      <c r="J15" s="392">
        <f t="shared" si="0"/>
        <v>5.5E-2</v>
      </c>
    </row>
    <row r="16" spans="2:10">
      <c r="B16" s="385" t="s">
        <v>1488</v>
      </c>
      <c r="C16" s="381">
        <v>8</v>
      </c>
      <c r="D16" s="390">
        <v>0.05</v>
      </c>
      <c r="E16" s="391">
        <v>5.0000000000000001E-3</v>
      </c>
      <c r="F16" s="381" t="s">
        <v>1527</v>
      </c>
      <c r="I16" s="381" t="s">
        <v>1488</v>
      </c>
      <c r="J16" s="392">
        <f t="shared" si="0"/>
        <v>5.5E-2</v>
      </c>
    </row>
    <row r="17" spans="2:10">
      <c r="B17" s="385" t="s">
        <v>1528</v>
      </c>
      <c r="C17" s="381">
        <v>9</v>
      </c>
      <c r="D17" s="390">
        <v>0.05</v>
      </c>
      <c r="E17" s="391">
        <v>5.0000000000000001E-3</v>
      </c>
      <c r="F17" s="381" t="s">
        <v>1520</v>
      </c>
      <c r="I17" s="381" t="s">
        <v>1528</v>
      </c>
      <c r="J17" s="392">
        <f t="shared" si="0"/>
        <v>5.5E-2</v>
      </c>
    </row>
    <row r="18" spans="2:10">
      <c r="B18" s="385" t="s">
        <v>1529</v>
      </c>
      <c r="C18" s="381">
        <v>10</v>
      </c>
      <c r="D18" s="390">
        <v>0.05</v>
      </c>
      <c r="E18" s="391">
        <v>5.0000000000000001E-3</v>
      </c>
      <c r="F18" s="381" t="s">
        <v>1530</v>
      </c>
      <c r="I18" s="381" t="s">
        <v>1529</v>
      </c>
      <c r="J18" s="392">
        <f t="shared" si="0"/>
        <v>5.5E-2</v>
      </c>
    </row>
    <row r="19" spans="2:10">
      <c r="B19" s="385" t="s">
        <v>1531</v>
      </c>
      <c r="C19" s="381">
        <v>11</v>
      </c>
      <c r="D19" s="390">
        <v>0.05</v>
      </c>
      <c r="E19" s="391">
        <v>5.0000000000000001E-3</v>
      </c>
      <c r="F19" s="381" t="s">
        <v>1526</v>
      </c>
      <c r="I19" s="381" t="s">
        <v>1531</v>
      </c>
      <c r="J19" s="392">
        <f t="shared" si="0"/>
        <v>5.5E-2</v>
      </c>
    </row>
    <row r="20" spans="2:10">
      <c r="B20" s="385" t="s">
        <v>1532</v>
      </c>
      <c r="C20" s="381">
        <v>12</v>
      </c>
      <c r="D20" s="390">
        <v>0.05</v>
      </c>
      <c r="E20" s="391">
        <v>5.0000000000000001E-3</v>
      </c>
      <c r="F20" s="381" t="s">
        <v>1520</v>
      </c>
      <c r="I20" s="381" t="s">
        <v>1532</v>
      </c>
      <c r="J20" s="392">
        <f t="shared" si="0"/>
        <v>5.5E-2</v>
      </c>
    </row>
    <row r="21" spans="2:10">
      <c r="B21" s="385" t="s">
        <v>1533</v>
      </c>
      <c r="C21" s="381">
        <v>13</v>
      </c>
      <c r="D21" s="390">
        <v>0.05</v>
      </c>
      <c r="E21" s="391">
        <v>5.0000000000000001E-3</v>
      </c>
      <c r="F21" s="381" t="s">
        <v>1520</v>
      </c>
      <c r="I21" s="381" t="s">
        <v>1533</v>
      </c>
      <c r="J21" s="392">
        <f t="shared" si="0"/>
        <v>5.5E-2</v>
      </c>
    </row>
    <row r="22" spans="2:10">
      <c r="B22" s="385" t="s">
        <v>1534</v>
      </c>
      <c r="C22" s="381">
        <v>14</v>
      </c>
      <c r="D22" s="390">
        <v>0.05</v>
      </c>
      <c r="E22" s="391">
        <v>5.0000000000000001E-3</v>
      </c>
      <c r="F22" s="381" t="s">
        <v>1535</v>
      </c>
      <c r="I22" s="381" t="s">
        <v>1534</v>
      </c>
      <c r="J22" s="392">
        <f t="shared" si="0"/>
        <v>5.5E-2</v>
      </c>
    </row>
    <row r="23" spans="2:10">
      <c r="B23" s="385" t="s">
        <v>1536</v>
      </c>
      <c r="C23" s="381">
        <v>15</v>
      </c>
      <c r="D23" s="390">
        <v>0.05</v>
      </c>
      <c r="E23" s="391">
        <v>5.0000000000000001E-3</v>
      </c>
      <c r="F23" s="381" t="s">
        <v>1516</v>
      </c>
      <c r="I23" s="381" t="s">
        <v>1536</v>
      </c>
      <c r="J23" s="392">
        <f t="shared" si="0"/>
        <v>5.5E-2</v>
      </c>
    </row>
    <row r="24" spans="2:10">
      <c r="B24" s="385" t="s">
        <v>1537</v>
      </c>
      <c r="C24" s="381">
        <v>16</v>
      </c>
      <c r="D24" s="390">
        <v>0.05</v>
      </c>
      <c r="E24" s="391">
        <v>5.0000000000000001E-3</v>
      </c>
      <c r="F24" s="381" t="s">
        <v>1520</v>
      </c>
      <c r="I24" s="381" t="s">
        <v>1537</v>
      </c>
      <c r="J24" s="392">
        <f t="shared" si="0"/>
        <v>5.5E-2</v>
      </c>
    </row>
    <row r="25" spans="2:10">
      <c r="B25" s="385" t="s">
        <v>1538</v>
      </c>
      <c r="C25" s="381">
        <v>17</v>
      </c>
      <c r="D25" s="390">
        <v>0.05</v>
      </c>
      <c r="E25" s="391">
        <v>5.0000000000000001E-3</v>
      </c>
      <c r="F25" s="381" t="s">
        <v>1518</v>
      </c>
      <c r="I25" s="381" t="s">
        <v>1538</v>
      </c>
      <c r="J25" s="392">
        <f t="shared" si="0"/>
        <v>5.5E-2</v>
      </c>
    </row>
    <row r="26" spans="2:10">
      <c r="B26" s="385" t="s">
        <v>1539</v>
      </c>
      <c r="C26" s="381">
        <v>18</v>
      </c>
      <c r="D26" s="390">
        <v>0.05</v>
      </c>
      <c r="E26" s="391">
        <v>5.0000000000000001E-3</v>
      </c>
      <c r="F26" s="381" t="s">
        <v>1540</v>
      </c>
      <c r="I26" s="381" t="s">
        <v>1539</v>
      </c>
      <c r="J26" s="392">
        <f t="shared" si="0"/>
        <v>5.5E-2</v>
      </c>
    </row>
    <row r="27" spans="2:10">
      <c r="B27" s="385" t="s">
        <v>1541</v>
      </c>
      <c r="C27" s="381">
        <v>19</v>
      </c>
      <c r="D27" s="390">
        <v>0.05</v>
      </c>
      <c r="E27" s="391">
        <v>5.0000000000000001E-3</v>
      </c>
      <c r="F27" s="381" t="s">
        <v>1542</v>
      </c>
      <c r="I27" s="381" t="s">
        <v>1541</v>
      </c>
      <c r="J27" s="392">
        <f t="shared" si="0"/>
        <v>5.5E-2</v>
      </c>
    </row>
    <row r="28" spans="2:10">
      <c r="B28" s="385" t="s">
        <v>1543</v>
      </c>
      <c r="C28" s="381">
        <v>20</v>
      </c>
      <c r="D28" s="390">
        <v>0.05</v>
      </c>
      <c r="E28" s="391">
        <v>5.0000000000000001E-3</v>
      </c>
      <c r="F28" s="381" t="s">
        <v>1544</v>
      </c>
      <c r="I28" s="381" t="s">
        <v>1543</v>
      </c>
      <c r="J28" s="392">
        <f t="shared" si="0"/>
        <v>5.5E-2</v>
      </c>
    </row>
    <row r="29" spans="2:10">
      <c r="B29" s="385" t="s">
        <v>1545</v>
      </c>
      <c r="C29" s="381">
        <v>21</v>
      </c>
      <c r="D29" s="390">
        <v>0.05</v>
      </c>
      <c r="E29" s="391">
        <v>5.0000000000000001E-3</v>
      </c>
      <c r="F29" s="381" t="s">
        <v>1546</v>
      </c>
      <c r="I29" s="381" t="s">
        <v>1545</v>
      </c>
      <c r="J29" s="392">
        <f t="shared" si="0"/>
        <v>5.5E-2</v>
      </c>
    </row>
    <row r="30" spans="2:10">
      <c r="B30" s="385" t="s">
        <v>1547</v>
      </c>
      <c r="C30" s="381">
        <v>22</v>
      </c>
      <c r="D30" s="390">
        <v>0.05</v>
      </c>
      <c r="E30" s="391">
        <v>5.0000000000000001E-3</v>
      </c>
      <c r="F30" s="381" t="s">
        <v>1548</v>
      </c>
      <c r="I30" s="381" t="s">
        <v>1547</v>
      </c>
      <c r="J30" s="392">
        <f t="shared" si="0"/>
        <v>5.5E-2</v>
      </c>
    </row>
    <row r="31" spans="2:10">
      <c r="B31" s="385" t="s">
        <v>1549</v>
      </c>
      <c r="C31" s="381">
        <v>23</v>
      </c>
      <c r="D31" s="390">
        <v>0.05</v>
      </c>
      <c r="E31" s="391">
        <v>5.0000000000000001E-3</v>
      </c>
      <c r="F31" s="381" t="s">
        <v>1550</v>
      </c>
      <c r="I31" s="381" t="s">
        <v>1549</v>
      </c>
      <c r="J31" s="392">
        <f t="shared" si="0"/>
        <v>5.5E-2</v>
      </c>
    </row>
    <row r="32" spans="2:10">
      <c r="B32" s="385" t="s">
        <v>1551</v>
      </c>
      <c r="C32" s="381">
        <v>24</v>
      </c>
      <c r="D32" s="390">
        <v>0.05</v>
      </c>
      <c r="E32" s="391">
        <v>5.0000000000000001E-3</v>
      </c>
      <c r="F32" s="381" t="s">
        <v>1552</v>
      </c>
      <c r="I32" s="381" t="s">
        <v>1551</v>
      </c>
      <c r="J32" s="392">
        <f t="shared" si="0"/>
        <v>5.5E-2</v>
      </c>
    </row>
    <row r="33" spans="2:10">
      <c r="B33" s="385" t="s">
        <v>1553</v>
      </c>
      <c r="C33" s="381">
        <v>25</v>
      </c>
      <c r="D33" s="390">
        <v>0.05</v>
      </c>
      <c r="E33" s="391">
        <v>5.0000000000000001E-3</v>
      </c>
      <c r="F33" s="381" t="s">
        <v>1524</v>
      </c>
      <c r="I33" s="381" t="s">
        <v>1553</v>
      </c>
      <c r="J33" s="392">
        <f t="shared" si="0"/>
        <v>5.5E-2</v>
      </c>
    </row>
    <row r="34" spans="2:10">
      <c r="B34" s="385" t="s">
        <v>1554</v>
      </c>
      <c r="C34" s="381">
        <v>26</v>
      </c>
      <c r="D34" s="390">
        <v>0.05</v>
      </c>
      <c r="E34" s="391">
        <v>5.0000000000000001E-3</v>
      </c>
      <c r="F34" s="381" t="s">
        <v>1520</v>
      </c>
      <c r="I34" s="381" t="s">
        <v>1554</v>
      </c>
      <c r="J34" s="392">
        <f t="shared" si="0"/>
        <v>5.5E-2</v>
      </c>
    </row>
    <row r="35" spans="2:10">
      <c r="B35" s="385" t="s">
        <v>1555</v>
      </c>
      <c r="C35" s="381">
        <v>27</v>
      </c>
      <c r="D35" s="390">
        <v>0.05</v>
      </c>
      <c r="E35" s="391">
        <v>5.0000000000000001E-3</v>
      </c>
      <c r="F35" s="381" t="s">
        <v>1524</v>
      </c>
      <c r="I35" s="381" t="s">
        <v>1555</v>
      </c>
      <c r="J35" s="392">
        <f t="shared" si="0"/>
        <v>5.5E-2</v>
      </c>
    </row>
    <row r="36" spans="2:10">
      <c r="B36" s="385" t="s">
        <v>1556</v>
      </c>
      <c r="C36" s="381">
        <v>28</v>
      </c>
      <c r="D36" s="390">
        <v>0.05</v>
      </c>
      <c r="E36" s="391">
        <v>5.0000000000000001E-3</v>
      </c>
      <c r="F36" s="381" t="s">
        <v>1520</v>
      </c>
      <c r="I36" s="381" t="s">
        <v>1556</v>
      </c>
      <c r="J36" s="392">
        <f t="shared" si="0"/>
        <v>5.5E-2</v>
      </c>
    </row>
    <row r="37" spans="2:10">
      <c r="B37" s="385" t="s">
        <v>1557</v>
      </c>
      <c r="C37" s="381">
        <v>29</v>
      </c>
      <c r="D37" s="390">
        <v>0.05</v>
      </c>
      <c r="E37" s="391">
        <v>5.0000000000000001E-3</v>
      </c>
      <c r="F37" s="381" t="s">
        <v>1558</v>
      </c>
      <c r="I37" s="381" t="s">
        <v>1557</v>
      </c>
      <c r="J37" s="392">
        <f t="shared" si="0"/>
        <v>5.5E-2</v>
      </c>
    </row>
    <row r="38" spans="2:10">
      <c r="B38" s="385" t="s">
        <v>1559</v>
      </c>
      <c r="C38" s="381">
        <v>30</v>
      </c>
      <c r="D38" s="390">
        <v>0.05</v>
      </c>
      <c r="E38" s="391">
        <v>5.0000000000000001E-3</v>
      </c>
      <c r="F38" s="381" t="s">
        <v>1520</v>
      </c>
      <c r="I38" s="381" t="s">
        <v>1559</v>
      </c>
      <c r="J38" s="392">
        <f t="shared" si="0"/>
        <v>5.5E-2</v>
      </c>
    </row>
    <row r="39" spans="2:10">
      <c r="B39" s="385" t="s">
        <v>1560</v>
      </c>
      <c r="C39" s="381">
        <v>31</v>
      </c>
      <c r="D39" s="390">
        <v>0.05</v>
      </c>
      <c r="E39" s="391">
        <v>5.0000000000000001E-3</v>
      </c>
      <c r="F39" s="381" t="s">
        <v>1561</v>
      </c>
      <c r="I39" s="381" t="s">
        <v>1560</v>
      </c>
      <c r="J39" s="392">
        <f t="shared" si="0"/>
        <v>5.5E-2</v>
      </c>
    </row>
    <row r="40" spans="2:10">
      <c r="B40" s="385" t="s">
        <v>1562</v>
      </c>
      <c r="C40" s="381">
        <v>32</v>
      </c>
      <c r="D40" s="390">
        <v>0.05</v>
      </c>
      <c r="E40" s="391">
        <v>5.0000000000000001E-3</v>
      </c>
      <c r="F40" s="381" t="s">
        <v>1563</v>
      </c>
      <c r="I40" s="381" t="s">
        <v>1562</v>
      </c>
      <c r="J40" s="392">
        <f t="shared" si="0"/>
        <v>5.5E-2</v>
      </c>
    </row>
    <row r="41" spans="2:10">
      <c r="B41" s="385" t="s">
        <v>1564</v>
      </c>
      <c r="C41" s="381">
        <v>33</v>
      </c>
      <c r="D41" s="390">
        <v>0.05</v>
      </c>
      <c r="E41" s="391">
        <v>5.0000000000000001E-3</v>
      </c>
      <c r="F41" s="381" t="s">
        <v>1565</v>
      </c>
      <c r="I41" s="381" t="s">
        <v>1564</v>
      </c>
      <c r="J41" s="392">
        <f t="shared" si="0"/>
        <v>5.5E-2</v>
      </c>
    </row>
    <row r="42" spans="2:10">
      <c r="B42" s="385" t="s">
        <v>1566</v>
      </c>
      <c r="C42" s="381">
        <v>34</v>
      </c>
      <c r="D42" s="390">
        <v>0.05</v>
      </c>
      <c r="E42" s="391">
        <v>5.0000000000000001E-3</v>
      </c>
      <c r="F42" s="381" t="s">
        <v>1516</v>
      </c>
      <c r="I42" s="381" t="s">
        <v>1566</v>
      </c>
      <c r="J42" s="392">
        <f t="shared" si="0"/>
        <v>5.5E-2</v>
      </c>
    </row>
    <row r="43" spans="2:10">
      <c r="B43" s="385" t="s">
        <v>1567</v>
      </c>
      <c r="C43" s="381">
        <v>35</v>
      </c>
      <c r="D43" s="390">
        <v>0.05</v>
      </c>
      <c r="E43" s="391">
        <v>5.0000000000000001E-3</v>
      </c>
      <c r="F43" s="381" t="s">
        <v>1524</v>
      </c>
      <c r="I43" s="381" t="s">
        <v>1567</v>
      </c>
      <c r="J43" s="392">
        <f t="shared" si="0"/>
        <v>5.5E-2</v>
      </c>
    </row>
    <row r="44" spans="2:10">
      <c r="B44" s="385" t="s">
        <v>1568</v>
      </c>
      <c r="C44" s="381">
        <v>36</v>
      </c>
      <c r="D44" s="390">
        <v>0.05</v>
      </c>
      <c r="I44" s="381" t="s">
        <v>1568</v>
      </c>
      <c r="J44" s="392">
        <f t="shared" si="0"/>
        <v>0.05</v>
      </c>
    </row>
    <row r="45" spans="2:10">
      <c r="B45" s="385" t="s">
        <v>1569</v>
      </c>
      <c r="C45" s="381">
        <v>37</v>
      </c>
      <c r="D45" s="390">
        <v>0.05</v>
      </c>
      <c r="E45" s="391">
        <v>5.0000000000000001E-3</v>
      </c>
      <c r="F45" s="381" t="s">
        <v>1524</v>
      </c>
      <c r="I45" s="381" t="s">
        <v>1569</v>
      </c>
      <c r="J45" s="392">
        <f t="shared" si="0"/>
        <v>5.5E-2</v>
      </c>
    </row>
    <row r="46" spans="2:10">
      <c r="B46" s="385" t="s">
        <v>1570</v>
      </c>
      <c r="C46" s="381">
        <v>38</v>
      </c>
      <c r="D46" s="390">
        <v>0.05</v>
      </c>
      <c r="E46" s="391">
        <v>5.0000000000000001E-3</v>
      </c>
      <c r="F46" s="381" t="s">
        <v>1571</v>
      </c>
      <c r="I46" s="381" t="s">
        <v>1570</v>
      </c>
      <c r="J46" s="392">
        <f t="shared" si="0"/>
        <v>5.5E-2</v>
      </c>
    </row>
    <row r="47" spans="2:10">
      <c r="B47" s="385" t="s">
        <v>1572</v>
      </c>
      <c r="C47" s="381">
        <v>39</v>
      </c>
      <c r="D47" s="390">
        <v>0.05</v>
      </c>
      <c r="E47" s="391">
        <v>5.0000000000000001E-3</v>
      </c>
      <c r="F47" s="381" t="s">
        <v>1526</v>
      </c>
      <c r="I47" s="381" t="s">
        <v>1572</v>
      </c>
      <c r="J47" s="392">
        <f t="shared" si="0"/>
        <v>5.5E-2</v>
      </c>
    </row>
    <row r="48" spans="2:10">
      <c r="B48" s="385" t="s">
        <v>1573</v>
      </c>
      <c r="C48" s="381">
        <v>72</v>
      </c>
      <c r="D48" s="390">
        <v>0.05</v>
      </c>
      <c r="E48" s="391">
        <v>5.0000000000000001E-3</v>
      </c>
      <c r="F48" s="381" t="s">
        <v>1574</v>
      </c>
      <c r="I48" s="381" t="s">
        <v>1573</v>
      </c>
      <c r="J48" s="392">
        <f t="shared" si="0"/>
        <v>5.5E-2</v>
      </c>
    </row>
    <row r="49" spans="2:10">
      <c r="B49" s="385" t="s">
        <v>1575</v>
      </c>
      <c r="C49" s="381">
        <v>40</v>
      </c>
      <c r="D49" s="390">
        <v>0.05</v>
      </c>
      <c r="E49" s="391">
        <v>8.9999999999999993E-3</v>
      </c>
      <c r="F49" s="381" t="s">
        <v>1576</v>
      </c>
      <c r="I49" s="381" t="s">
        <v>1575</v>
      </c>
      <c r="J49" s="392">
        <f t="shared" si="0"/>
        <v>5.9000000000000004E-2</v>
      </c>
    </row>
    <row r="50" spans="2:10">
      <c r="B50" s="385" t="s">
        <v>1577</v>
      </c>
      <c r="D50" s="390">
        <v>0.05</v>
      </c>
      <c r="E50" s="391">
        <v>8.9999999999999993E-3</v>
      </c>
      <c r="F50" s="381" t="s">
        <v>1576</v>
      </c>
      <c r="G50" s="390">
        <v>0.02</v>
      </c>
      <c r="H50" s="381" t="s">
        <v>1576</v>
      </c>
      <c r="I50" s="381" t="s">
        <v>1578</v>
      </c>
      <c r="J50" s="392">
        <f t="shared" si="0"/>
        <v>7.9000000000000001E-2</v>
      </c>
    </row>
    <row r="51" spans="2:10">
      <c r="B51" s="385" t="s">
        <v>1579</v>
      </c>
      <c r="C51" s="381">
        <v>41</v>
      </c>
      <c r="D51" s="390">
        <v>0.05</v>
      </c>
      <c r="E51" s="391">
        <v>5.0000000000000001E-3</v>
      </c>
      <c r="F51" s="381" t="s">
        <v>1563</v>
      </c>
      <c r="I51" s="381" t="s">
        <v>1579</v>
      </c>
      <c r="J51" s="392">
        <f t="shared" si="0"/>
        <v>5.5E-2</v>
      </c>
    </row>
    <row r="52" spans="2:10">
      <c r="B52" s="385" t="s">
        <v>1580</v>
      </c>
      <c r="C52" s="381">
        <v>42</v>
      </c>
      <c r="D52" s="390">
        <v>0.05</v>
      </c>
      <c r="E52" s="391">
        <v>5.0000000000000001E-3</v>
      </c>
      <c r="F52" s="381" t="s">
        <v>1581</v>
      </c>
      <c r="I52" s="381" t="s">
        <v>1580</v>
      </c>
      <c r="J52" s="392">
        <f t="shared" si="0"/>
        <v>5.5E-2</v>
      </c>
    </row>
    <row r="53" spans="2:10">
      <c r="B53" s="385" t="s">
        <v>1582</v>
      </c>
      <c r="C53" s="381">
        <v>43</v>
      </c>
      <c r="D53" s="390">
        <v>0.05</v>
      </c>
      <c r="E53" s="391">
        <v>5.0000000000000001E-3</v>
      </c>
      <c r="F53" s="381" t="s">
        <v>1524</v>
      </c>
      <c r="I53" s="381" t="s">
        <v>1582</v>
      </c>
      <c r="J53" s="392">
        <f t="shared" si="0"/>
        <v>5.5E-2</v>
      </c>
    </row>
    <row r="54" spans="2:10">
      <c r="B54" s="385" t="s">
        <v>1583</v>
      </c>
      <c r="C54" s="381">
        <v>44</v>
      </c>
      <c r="D54" s="390">
        <v>0.05</v>
      </c>
      <c r="E54" s="391">
        <v>5.0000000000000001E-3</v>
      </c>
      <c r="F54" s="381" t="s">
        <v>1584</v>
      </c>
      <c r="I54" s="381" t="s">
        <v>1583</v>
      </c>
      <c r="J54" s="392">
        <f t="shared" si="0"/>
        <v>5.5E-2</v>
      </c>
    </row>
    <row r="55" spans="2:10">
      <c r="B55" s="385" t="s">
        <v>1585</v>
      </c>
      <c r="C55" s="381">
        <v>45</v>
      </c>
      <c r="D55" s="390">
        <v>0.05</v>
      </c>
      <c r="E55" s="391">
        <v>5.0000000000000001E-3</v>
      </c>
      <c r="F55" s="381" t="s">
        <v>1520</v>
      </c>
      <c r="I55" s="381" t="s">
        <v>1585</v>
      </c>
      <c r="J55" s="392">
        <f t="shared" si="0"/>
        <v>5.5E-2</v>
      </c>
    </row>
    <row r="56" spans="2:10">
      <c r="B56" s="385" t="s">
        <v>1586</v>
      </c>
      <c r="C56" s="381">
        <v>46</v>
      </c>
      <c r="D56" s="390">
        <v>0.05</v>
      </c>
      <c r="E56" s="391">
        <v>5.0000000000000001E-3</v>
      </c>
      <c r="F56" s="381" t="s">
        <v>1520</v>
      </c>
      <c r="I56" s="381" t="s">
        <v>1586</v>
      </c>
      <c r="J56" s="392">
        <f t="shared" si="0"/>
        <v>5.5E-2</v>
      </c>
    </row>
    <row r="57" spans="2:10">
      <c r="B57" s="385" t="s">
        <v>1587</v>
      </c>
      <c r="C57" s="381">
        <v>47</v>
      </c>
      <c r="D57" s="390">
        <v>0.05</v>
      </c>
      <c r="E57" s="391">
        <v>5.0000000000000001E-3</v>
      </c>
      <c r="F57" s="381" t="s">
        <v>1516</v>
      </c>
      <c r="I57" s="381" t="s">
        <v>1587</v>
      </c>
      <c r="J57" s="392">
        <f t="shared" si="0"/>
        <v>5.5E-2</v>
      </c>
    </row>
    <row r="58" spans="2:10">
      <c r="B58" s="385" t="s">
        <v>1588</v>
      </c>
      <c r="C58" s="381">
        <v>48</v>
      </c>
      <c r="D58" s="390">
        <v>0.05</v>
      </c>
      <c r="E58" s="391">
        <v>5.0000000000000001E-3</v>
      </c>
      <c r="F58" s="381" t="s">
        <v>1516</v>
      </c>
      <c r="I58" s="381" t="s">
        <v>1588</v>
      </c>
      <c r="J58" s="392">
        <f t="shared" si="0"/>
        <v>5.5E-2</v>
      </c>
    </row>
    <row r="59" spans="2:10">
      <c r="B59" s="385" t="s">
        <v>1589</v>
      </c>
      <c r="C59" s="381">
        <v>49</v>
      </c>
      <c r="D59" s="390">
        <v>0.05</v>
      </c>
      <c r="E59" s="391">
        <v>5.0000000000000001E-3</v>
      </c>
      <c r="F59" s="381" t="s">
        <v>1526</v>
      </c>
      <c r="I59" s="381" t="s">
        <v>1589</v>
      </c>
      <c r="J59" s="392">
        <f t="shared" si="0"/>
        <v>5.5E-2</v>
      </c>
    </row>
    <row r="60" spans="2:10">
      <c r="B60" s="385" t="s">
        <v>1590</v>
      </c>
      <c r="C60" s="381">
        <v>50</v>
      </c>
      <c r="D60" s="390">
        <v>0.05</v>
      </c>
      <c r="E60" s="391">
        <v>5.0000000000000001E-3</v>
      </c>
      <c r="F60" s="381" t="s">
        <v>1591</v>
      </c>
      <c r="I60" s="381" t="s">
        <v>1590</v>
      </c>
      <c r="J60" s="392">
        <f t="shared" si="0"/>
        <v>5.5E-2</v>
      </c>
    </row>
    <row r="61" spans="2:10">
      <c r="B61" s="385" t="s">
        <v>1592</v>
      </c>
      <c r="C61" s="381">
        <v>51</v>
      </c>
      <c r="D61" s="390">
        <v>0.05</v>
      </c>
      <c r="I61" s="381" t="s">
        <v>1592</v>
      </c>
      <c r="J61" s="392">
        <f t="shared" si="0"/>
        <v>0.05</v>
      </c>
    </row>
    <row r="62" spans="2:10">
      <c r="B62" s="385" t="s">
        <v>1593</v>
      </c>
      <c r="C62" s="381">
        <v>52</v>
      </c>
      <c r="D62" s="390">
        <v>0.05</v>
      </c>
      <c r="E62" s="391">
        <v>5.0000000000000001E-3</v>
      </c>
      <c r="F62" s="381" t="s">
        <v>1526</v>
      </c>
      <c r="I62" s="381" t="s">
        <v>1593</v>
      </c>
      <c r="J62" s="392">
        <f t="shared" si="0"/>
        <v>5.5E-2</v>
      </c>
    </row>
    <row r="63" spans="2:10">
      <c r="B63" s="385" t="s">
        <v>1594</v>
      </c>
      <c r="C63" s="381">
        <v>53</v>
      </c>
      <c r="D63" s="390">
        <v>0.05</v>
      </c>
      <c r="E63" s="391">
        <v>5.0000000000000001E-3</v>
      </c>
      <c r="F63" s="381" t="s">
        <v>1595</v>
      </c>
      <c r="I63" s="381" t="s">
        <v>1594</v>
      </c>
      <c r="J63" s="392">
        <f t="shared" si="0"/>
        <v>5.5E-2</v>
      </c>
    </row>
    <row r="64" spans="2:10">
      <c r="B64" s="385" t="s">
        <v>1596</v>
      </c>
      <c r="C64" s="381">
        <v>54</v>
      </c>
      <c r="D64" s="390">
        <v>0.05</v>
      </c>
      <c r="E64" s="391">
        <v>5.0000000000000001E-3</v>
      </c>
      <c r="F64" s="381" t="s">
        <v>1524</v>
      </c>
      <c r="I64" s="381" t="s">
        <v>1596</v>
      </c>
      <c r="J64" s="392">
        <f t="shared" si="0"/>
        <v>5.5E-2</v>
      </c>
    </row>
    <row r="65" spans="2:10">
      <c r="B65" s="385" t="s">
        <v>1597</v>
      </c>
      <c r="C65" s="381">
        <v>55</v>
      </c>
      <c r="D65" s="390">
        <v>0.05</v>
      </c>
      <c r="E65" s="391">
        <v>5.0000000000000001E-3</v>
      </c>
      <c r="F65" s="381" t="s">
        <v>1524</v>
      </c>
      <c r="I65" s="381" t="s">
        <v>1597</v>
      </c>
      <c r="J65" s="392">
        <f t="shared" si="0"/>
        <v>5.5E-2</v>
      </c>
    </row>
    <row r="66" spans="2:10">
      <c r="B66" s="385" t="s">
        <v>1598</v>
      </c>
      <c r="C66" s="381">
        <v>56</v>
      </c>
      <c r="D66" s="390">
        <v>0.05</v>
      </c>
      <c r="E66" s="391">
        <v>5.0000000000000001E-3</v>
      </c>
      <c r="F66" s="381" t="s">
        <v>1558</v>
      </c>
      <c r="I66" s="381" t="s">
        <v>1598</v>
      </c>
      <c r="J66" s="392">
        <f t="shared" si="0"/>
        <v>5.5E-2</v>
      </c>
    </row>
    <row r="67" spans="2:10">
      <c r="B67" s="385" t="s">
        <v>1599</v>
      </c>
      <c r="C67" s="381">
        <v>57</v>
      </c>
      <c r="D67" s="390">
        <v>0.05</v>
      </c>
      <c r="E67" s="391">
        <v>5.0000000000000001E-3</v>
      </c>
      <c r="F67" s="381" t="s">
        <v>1524</v>
      </c>
      <c r="I67" s="381" t="s">
        <v>1599</v>
      </c>
      <c r="J67" s="392">
        <f t="shared" si="0"/>
        <v>5.5E-2</v>
      </c>
    </row>
    <row r="68" spans="2:10">
      <c r="B68" s="385" t="s">
        <v>1600</v>
      </c>
      <c r="C68" s="381">
        <v>58</v>
      </c>
      <c r="D68" s="390">
        <v>0.05</v>
      </c>
      <c r="E68" s="391">
        <v>5.0000000000000001E-3</v>
      </c>
      <c r="F68" s="381" t="s">
        <v>1563</v>
      </c>
      <c r="I68" s="381" t="s">
        <v>1600</v>
      </c>
      <c r="J68" s="392">
        <f t="shared" si="0"/>
        <v>5.5E-2</v>
      </c>
    </row>
    <row r="69" spans="2:10">
      <c r="B69" s="385" t="s">
        <v>1601</v>
      </c>
      <c r="C69" s="381">
        <v>59</v>
      </c>
      <c r="D69" s="390">
        <v>0.05</v>
      </c>
      <c r="E69" s="391">
        <v>5.0000000000000001E-3</v>
      </c>
      <c r="F69" s="381" t="s">
        <v>1602</v>
      </c>
      <c r="I69" s="381" t="s">
        <v>1601</v>
      </c>
      <c r="J69" s="392">
        <f t="shared" si="0"/>
        <v>5.5E-2</v>
      </c>
    </row>
    <row r="70" spans="2:10">
      <c r="B70" s="385" t="s">
        <v>1603</v>
      </c>
      <c r="C70" s="381">
        <v>60</v>
      </c>
      <c r="D70" s="390">
        <v>0.05</v>
      </c>
      <c r="E70" s="391">
        <v>5.0000000000000001E-3</v>
      </c>
      <c r="F70" s="381" t="s">
        <v>1552</v>
      </c>
      <c r="I70" s="381" t="s">
        <v>1603</v>
      </c>
      <c r="J70" s="392">
        <f t="shared" si="0"/>
        <v>5.5E-2</v>
      </c>
    </row>
    <row r="71" spans="2:10">
      <c r="B71" s="385" t="s">
        <v>1604</v>
      </c>
      <c r="C71" s="381">
        <v>61</v>
      </c>
      <c r="D71" s="390">
        <v>0.05</v>
      </c>
      <c r="E71" s="391">
        <v>5.0000000000000001E-3</v>
      </c>
      <c r="F71" s="381" t="s">
        <v>1605</v>
      </c>
      <c r="I71" s="381" t="s">
        <v>1604</v>
      </c>
      <c r="J71" s="392">
        <f t="shared" si="0"/>
        <v>5.5E-2</v>
      </c>
    </row>
    <row r="72" spans="2:10">
      <c r="B72" s="385" t="s">
        <v>1606</v>
      </c>
      <c r="C72" s="381">
        <v>62</v>
      </c>
      <c r="D72" s="390">
        <v>0.05</v>
      </c>
      <c r="E72" s="391">
        <v>5.0000000000000001E-3</v>
      </c>
      <c r="F72" s="381" t="s">
        <v>1607</v>
      </c>
      <c r="I72" s="381" t="s">
        <v>1606</v>
      </c>
      <c r="J72" s="392">
        <f t="shared" si="0"/>
        <v>5.5E-2</v>
      </c>
    </row>
    <row r="73" spans="2:10">
      <c r="B73" s="385" t="s">
        <v>1608</v>
      </c>
      <c r="C73" s="381">
        <v>63</v>
      </c>
      <c r="D73" s="390">
        <v>0.05</v>
      </c>
      <c r="E73" s="391">
        <v>5.0000000000000001E-3</v>
      </c>
      <c r="F73" s="381" t="s">
        <v>1516</v>
      </c>
      <c r="I73" s="381" t="s">
        <v>1608</v>
      </c>
      <c r="J73" s="392">
        <f t="shared" si="0"/>
        <v>5.5E-2</v>
      </c>
    </row>
    <row r="74" spans="2:10">
      <c r="B74" s="385" t="s">
        <v>1609</v>
      </c>
      <c r="C74" s="381">
        <v>64</v>
      </c>
      <c r="D74" s="390">
        <v>0.05</v>
      </c>
      <c r="E74" s="391">
        <v>5.0000000000000001E-3</v>
      </c>
      <c r="F74" s="381" t="s">
        <v>1524</v>
      </c>
      <c r="I74" s="381" t="s">
        <v>1609</v>
      </c>
      <c r="J74" s="392">
        <f t="shared" ref="J74:J81" si="1">D74+E74+G74</f>
        <v>5.5E-2</v>
      </c>
    </row>
    <row r="75" spans="2:10">
      <c r="B75" s="385" t="s">
        <v>1610</v>
      </c>
      <c r="C75" s="381">
        <v>65</v>
      </c>
      <c r="D75" s="390">
        <v>0.05</v>
      </c>
      <c r="E75" s="391">
        <v>5.0000000000000001E-3</v>
      </c>
      <c r="F75" s="381" t="s">
        <v>1520</v>
      </c>
      <c r="I75" s="381" t="s">
        <v>1610</v>
      </c>
      <c r="J75" s="392">
        <f t="shared" si="1"/>
        <v>5.5E-2</v>
      </c>
    </row>
    <row r="76" spans="2:10">
      <c r="B76" s="385" t="s">
        <v>1611</v>
      </c>
      <c r="C76" s="381">
        <v>66</v>
      </c>
      <c r="D76" s="390">
        <v>0.05</v>
      </c>
      <c r="E76" s="391">
        <v>5.0000000000000001E-3</v>
      </c>
      <c r="F76" s="381" t="s">
        <v>1540</v>
      </c>
      <c r="I76" s="381" t="s">
        <v>1611</v>
      </c>
      <c r="J76" s="392">
        <f t="shared" si="1"/>
        <v>5.5E-2</v>
      </c>
    </row>
    <row r="77" spans="2:10">
      <c r="B77" s="385" t="s">
        <v>1612</v>
      </c>
      <c r="C77" s="381">
        <v>67</v>
      </c>
      <c r="D77" s="390">
        <v>0.05</v>
      </c>
      <c r="I77" s="381" t="s">
        <v>1612</v>
      </c>
      <c r="J77" s="392">
        <f t="shared" si="1"/>
        <v>0.05</v>
      </c>
    </row>
    <row r="78" spans="2:10">
      <c r="B78" s="385" t="s">
        <v>1613</v>
      </c>
      <c r="C78" s="381">
        <v>68</v>
      </c>
      <c r="D78" s="390">
        <v>0.05</v>
      </c>
      <c r="E78" s="391">
        <v>5.0000000000000001E-3</v>
      </c>
      <c r="F78" s="381" t="s">
        <v>1526</v>
      </c>
      <c r="I78" s="381" t="s">
        <v>1613</v>
      </c>
      <c r="J78" s="392">
        <f t="shared" si="1"/>
        <v>5.5E-2</v>
      </c>
    </row>
    <row r="79" spans="2:10">
      <c r="B79" s="385" t="s">
        <v>1614</v>
      </c>
      <c r="C79" s="381">
        <v>69</v>
      </c>
      <c r="D79" s="390">
        <v>0.05</v>
      </c>
      <c r="E79" s="391">
        <v>5.0000000000000001E-3</v>
      </c>
      <c r="F79" s="381" t="s">
        <v>1563</v>
      </c>
      <c r="I79" s="381" t="s">
        <v>1614</v>
      </c>
      <c r="J79" s="392">
        <f t="shared" si="1"/>
        <v>5.5E-2</v>
      </c>
    </row>
    <row r="80" spans="2:10">
      <c r="B80" s="385" t="s">
        <v>1615</v>
      </c>
      <c r="C80" s="381">
        <v>70</v>
      </c>
      <c r="D80" s="390">
        <v>0.05</v>
      </c>
      <c r="I80" s="381" t="s">
        <v>1615</v>
      </c>
      <c r="J80" s="392">
        <f t="shared" si="1"/>
        <v>0.05</v>
      </c>
    </row>
    <row r="81" spans="2:10" ht="15.75" thickBot="1">
      <c r="B81" s="393" t="s">
        <v>1616</v>
      </c>
      <c r="C81" s="394">
        <v>71</v>
      </c>
      <c r="D81" s="395">
        <v>0.05</v>
      </c>
      <c r="E81" s="396">
        <v>5.0000000000000001E-3</v>
      </c>
      <c r="F81" s="394" t="s">
        <v>1617</v>
      </c>
      <c r="G81" s="394"/>
      <c r="H81" s="394"/>
      <c r="I81" s="394" t="s">
        <v>1616</v>
      </c>
      <c r="J81" s="397">
        <f t="shared" si="1"/>
        <v>5.5E-2</v>
      </c>
    </row>
  </sheetData>
  <sheetProtection algorithmName="SHA-512" hashValue="na8gVAW/w1OJP8nZKIo72dNPd/whXYBABxz+EZtFrjJo2aP9qroAMAi5H1IcVUJuyVWhahmH3C8FCy1Fk7BFYA==" saltValue="WZ6swYbn+DvufKO7sYUYkA=="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45ACA-384C-4FFD-84D2-0A22F05E0345}">
  <sheetPr codeName="Sheet20">
    <tabColor rgb="FF92D050"/>
  </sheetPr>
  <dimension ref="A1:M58"/>
  <sheetViews>
    <sheetView topLeftCell="A13" workbookViewId="0">
      <selection activeCell="K34" sqref="K34"/>
    </sheetView>
  </sheetViews>
  <sheetFormatPr defaultColWidth="9.140625" defaultRowHeight="12.75"/>
  <cols>
    <col min="1" max="1" width="39.7109375" style="139" customWidth="1"/>
    <col min="2" max="16384" width="9.140625" style="139"/>
  </cols>
  <sheetData>
    <row r="1" spans="1:6">
      <c r="A1" s="139" t="s">
        <v>1143</v>
      </c>
      <c r="B1" s="139" t="s">
        <v>1144</v>
      </c>
    </row>
    <row r="2" spans="1:6">
      <c r="A2" s="139" t="s">
        <v>1145</v>
      </c>
    </row>
    <row r="3" spans="1:6">
      <c r="A3" s="139" t="s">
        <v>1146</v>
      </c>
    </row>
    <row r="4" spans="1:6">
      <c r="A4" s="139" t="s">
        <v>1147</v>
      </c>
    </row>
    <row r="5" spans="1:6">
      <c r="A5" s="139" t="s">
        <v>1148</v>
      </c>
    </row>
    <row r="6" spans="1:6">
      <c r="A6" s="139" t="s">
        <v>1149</v>
      </c>
    </row>
    <row r="7" spans="1:6">
      <c r="A7" s="139" t="s">
        <v>1150</v>
      </c>
      <c r="F7" s="140"/>
    </row>
    <row r="8" spans="1:6">
      <c r="A8" s="139" t="s">
        <v>1151</v>
      </c>
    </row>
    <row r="9" spans="1:6">
      <c r="A9" s="139" t="s">
        <v>1152</v>
      </c>
    </row>
    <row r="10" spans="1:6">
      <c r="A10" s="139" t="s">
        <v>1153</v>
      </c>
    </row>
    <row r="11" spans="1:6">
      <c r="A11" s="139" t="s">
        <v>1154</v>
      </c>
    </row>
    <row r="12" spans="1:6">
      <c r="A12" s="139" t="s">
        <v>1155</v>
      </c>
    </row>
    <row r="13" spans="1:6">
      <c r="A13" s="139" t="s">
        <v>1156</v>
      </c>
    </row>
    <row r="14" spans="1:6">
      <c r="A14" s="139" t="s">
        <v>1157</v>
      </c>
    </row>
    <row r="15" spans="1:6">
      <c r="A15" s="139" t="s">
        <v>1067</v>
      </c>
    </row>
    <row r="16" spans="1:6">
      <c r="A16" s="139" t="s">
        <v>1158</v>
      </c>
    </row>
    <row r="17" spans="1:13">
      <c r="A17" s="139" t="s">
        <v>1159</v>
      </c>
    </row>
    <row r="18" spans="1:13">
      <c r="A18" s="139" t="s">
        <v>1160</v>
      </c>
    </row>
    <row r="19" spans="1:13">
      <c r="A19" s="139" t="s">
        <v>1161</v>
      </c>
    </row>
    <row r="20" spans="1:13">
      <c r="A20" s="139" t="s">
        <v>1162</v>
      </c>
      <c r="D20"/>
      <c r="E20"/>
      <c r="F20"/>
      <c r="G20"/>
      <c r="H20"/>
      <c r="I20"/>
      <c r="J20"/>
      <c r="K20"/>
      <c r="L20"/>
      <c r="M20"/>
    </row>
    <row r="21" spans="1:13">
      <c r="D21"/>
      <c r="E21"/>
      <c r="F21"/>
      <c r="G21"/>
      <c r="H21"/>
      <c r="I21"/>
      <c r="J21"/>
      <c r="K21"/>
      <c r="L21"/>
      <c r="M21"/>
    </row>
    <row r="22" spans="1:13">
      <c r="A22" s="140"/>
      <c r="D22"/>
      <c r="E22"/>
      <c r="F22"/>
      <c r="G22"/>
      <c r="H22"/>
      <c r="I22"/>
      <c r="J22"/>
      <c r="K22"/>
      <c r="L22"/>
      <c r="M22"/>
    </row>
    <row r="23" spans="1:13">
      <c r="A23" s="140"/>
      <c r="D23"/>
      <c r="E23"/>
      <c r="F23"/>
      <c r="G23"/>
      <c r="H23"/>
      <c r="I23"/>
      <c r="J23"/>
      <c r="K23"/>
      <c r="L23"/>
      <c r="M23"/>
    </row>
    <row r="24" spans="1:13">
      <c r="A24" s="140"/>
      <c r="D24"/>
      <c r="E24"/>
      <c r="F24"/>
      <c r="G24"/>
      <c r="H24"/>
      <c r="I24"/>
      <c r="J24"/>
      <c r="K24"/>
      <c r="L24"/>
      <c r="M24"/>
    </row>
    <row r="25" spans="1:13">
      <c r="A25" s="140"/>
      <c r="D25"/>
      <c r="E25"/>
      <c r="F25"/>
      <c r="G25"/>
      <c r="H25"/>
      <c r="I25"/>
      <c r="J25"/>
      <c r="K25"/>
      <c r="L25"/>
      <c r="M25"/>
    </row>
    <row r="26" spans="1:13">
      <c r="A26" s="140"/>
      <c r="D26"/>
      <c r="E26"/>
      <c r="F26"/>
      <c r="G26"/>
      <c r="H26"/>
      <c r="I26"/>
      <c r="J26"/>
      <c r="K26"/>
      <c r="L26"/>
      <c r="M26"/>
    </row>
    <row r="27" spans="1:13">
      <c r="A27" s="140"/>
      <c r="D27"/>
      <c r="E27"/>
      <c r="F27"/>
      <c r="G27"/>
      <c r="H27"/>
      <c r="I27"/>
      <c r="J27"/>
      <c r="K27"/>
      <c r="L27"/>
      <c r="M27"/>
    </row>
    <row r="28" spans="1:13">
      <c r="A28" s="140"/>
      <c r="D28"/>
      <c r="E28"/>
      <c r="F28"/>
      <c r="G28"/>
      <c r="H28"/>
      <c r="I28"/>
      <c r="J28"/>
      <c r="K28"/>
      <c r="L28"/>
      <c r="M28"/>
    </row>
    <row r="29" spans="1:13">
      <c r="D29"/>
      <c r="E29"/>
      <c r="F29"/>
      <c r="G29"/>
      <c r="H29"/>
      <c r="I29"/>
      <c r="J29"/>
      <c r="K29"/>
      <c r="L29"/>
      <c r="M29"/>
    </row>
    <row r="30" spans="1:13">
      <c r="A30" s="140" t="s">
        <v>1107</v>
      </c>
      <c r="D30"/>
      <c r="E30"/>
      <c r="F30"/>
      <c r="G30"/>
      <c r="H30"/>
      <c r="I30"/>
      <c r="J30"/>
      <c r="K30"/>
      <c r="L30"/>
      <c r="M30"/>
    </row>
    <row r="31" spans="1:13">
      <c r="A31" s="140" t="s">
        <v>1109</v>
      </c>
      <c r="D31"/>
      <c r="E31"/>
      <c r="F31"/>
      <c r="G31"/>
      <c r="H31"/>
      <c r="I31"/>
      <c r="J31"/>
      <c r="K31"/>
      <c r="L31"/>
      <c r="M31"/>
    </row>
    <row r="32" spans="1:13">
      <c r="A32" s="140" t="s">
        <v>1163</v>
      </c>
      <c r="D32"/>
      <c r="E32"/>
      <c r="F32"/>
      <c r="G32"/>
      <c r="H32"/>
      <c r="I32"/>
      <c r="J32"/>
      <c r="K32"/>
      <c r="L32"/>
      <c r="M32"/>
    </row>
    <row r="33" spans="1:1">
      <c r="A33" s="140" t="s">
        <v>1108</v>
      </c>
    </row>
    <row r="34" spans="1:1">
      <c r="A34" s="140"/>
    </row>
    <row r="36" spans="1:1">
      <c r="A36" s="140" t="s">
        <v>1164</v>
      </c>
    </row>
    <row r="37" spans="1:1">
      <c r="A37" s="140" t="s">
        <v>1165</v>
      </c>
    </row>
    <row r="38" spans="1:1">
      <c r="A38" s="140" t="s">
        <v>1166</v>
      </c>
    </row>
    <row r="39" spans="1:1">
      <c r="A39" s="140" t="s">
        <v>1167</v>
      </c>
    </row>
    <row r="40" spans="1:1">
      <c r="A40" s="140" t="s">
        <v>1168</v>
      </c>
    </row>
    <row r="41" spans="1:1">
      <c r="A41" s="140" t="s">
        <v>1169</v>
      </c>
    </row>
    <row r="43" spans="1:1">
      <c r="A43" s="140" t="s">
        <v>1184</v>
      </c>
    </row>
    <row r="44" spans="1:1">
      <c r="A44" s="140" t="s">
        <v>1183</v>
      </c>
    </row>
    <row r="45" spans="1:1">
      <c r="A45" s="140" t="s">
        <v>1182</v>
      </c>
    </row>
    <row r="46" spans="1:1">
      <c r="A46" s="140" t="s">
        <v>1178</v>
      </c>
    </row>
    <row r="47" spans="1:1">
      <c r="A47" s="140" t="s">
        <v>1179</v>
      </c>
    </row>
    <row r="48" spans="1:1">
      <c r="A48" s="140" t="s">
        <v>1180</v>
      </c>
    </row>
    <row r="49" spans="1:1">
      <c r="A49" s="140" t="s">
        <v>1181</v>
      </c>
    </row>
    <row r="50" spans="1:1">
      <c r="A50" s="140" t="s">
        <v>1185</v>
      </c>
    </row>
    <row r="51" spans="1:1">
      <c r="A51" s="140" t="s">
        <v>1186</v>
      </c>
    </row>
    <row r="52" spans="1:1">
      <c r="A52" s="140" t="s">
        <v>1187</v>
      </c>
    </row>
    <row r="53" spans="1:1">
      <c r="A53" s="140" t="s">
        <v>1188</v>
      </c>
    </row>
    <row r="54" spans="1:1">
      <c r="A54" s="140" t="s">
        <v>1189</v>
      </c>
    </row>
    <row r="56" spans="1:1">
      <c r="A56" s="140" t="s">
        <v>1394</v>
      </c>
    </row>
    <row r="57" spans="1:1">
      <c r="A57" s="139" t="s">
        <v>1395</v>
      </c>
    </row>
    <row r="58" spans="1:1">
      <c r="A58" s="139" t="s">
        <v>1396</v>
      </c>
    </row>
  </sheetData>
  <dataValidations count="1">
    <dataValidation allowBlank="1" showInputMessage="1" showErrorMessage="1" promptTitle="Which Month" sqref="A43:A54" xr:uid="{7E29601A-9AC5-40A2-A475-6F6BFB41051C}"/>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tabColor rgb="FF92D050"/>
  </sheetPr>
  <dimension ref="A4:I115"/>
  <sheetViews>
    <sheetView workbookViewId="0">
      <selection activeCell="B40" sqref="B40"/>
    </sheetView>
  </sheetViews>
  <sheetFormatPr defaultRowHeight="12.75"/>
  <cols>
    <col min="1" max="1" width="21.7109375" bestFit="1" customWidth="1"/>
  </cols>
  <sheetData>
    <row r="4" spans="1:9">
      <c r="B4" s="15" t="s">
        <v>1649</v>
      </c>
    </row>
    <row r="5" spans="1:9" ht="15" customHeight="1">
      <c r="B5" s="15" t="s">
        <v>1650</v>
      </c>
      <c r="I5" s="102"/>
    </row>
    <row r="6" spans="1:9">
      <c r="B6" s="15" t="s">
        <v>1651</v>
      </c>
    </row>
    <row r="7" spans="1:9">
      <c r="B7" s="15" t="s">
        <v>1652</v>
      </c>
    </row>
    <row r="8" spans="1:9">
      <c r="B8" s="15" t="s">
        <v>1653</v>
      </c>
    </row>
    <row r="9" spans="1:9">
      <c r="B9" s="15" t="s">
        <v>1654</v>
      </c>
    </row>
    <row r="10" spans="1:9">
      <c r="B10" s="15" t="s">
        <v>1655</v>
      </c>
    </row>
    <row r="11" spans="1:9">
      <c r="B11" s="15" t="s">
        <v>1656</v>
      </c>
    </row>
    <row r="12" spans="1:9">
      <c r="B12" s="15" t="s">
        <v>1657</v>
      </c>
    </row>
    <row r="13" spans="1:9">
      <c r="B13" s="15" t="s">
        <v>1658</v>
      </c>
    </row>
    <row r="14" spans="1:9">
      <c r="A14" s="15"/>
      <c r="B14" s="15" t="s">
        <v>1659</v>
      </c>
    </row>
    <row r="15" spans="1:9">
      <c r="A15" s="15"/>
      <c r="B15" s="15" t="s">
        <v>1660</v>
      </c>
    </row>
    <row r="16" spans="1:9">
      <c r="A16" s="15"/>
      <c r="B16" s="15" t="s">
        <v>1661</v>
      </c>
    </row>
    <row r="17" spans="1:2">
      <c r="A17" s="15"/>
      <c r="B17" s="15" t="s">
        <v>1662</v>
      </c>
    </row>
    <row r="18" spans="1:2">
      <c r="A18" s="15"/>
      <c r="B18" s="15" t="s">
        <v>1663</v>
      </c>
    </row>
    <row r="19" spans="1:2">
      <c r="A19" s="15"/>
      <c r="B19" s="15" t="s">
        <v>1664</v>
      </c>
    </row>
    <row r="20" spans="1:2">
      <c r="A20" s="15"/>
      <c r="B20" s="15" t="s">
        <v>1665</v>
      </c>
    </row>
    <row r="21" spans="1:2">
      <c r="A21" s="15"/>
      <c r="B21" s="15" t="s">
        <v>1666</v>
      </c>
    </row>
    <row r="22" spans="1:2">
      <c r="A22" s="15"/>
      <c r="B22" s="15" t="s">
        <v>1667</v>
      </c>
    </row>
    <row r="23" spans="1:2">
      <c r="B23" t="s">
        <v>1668</v>
      </c>
    </row>
    <row r="24" spans="1:2">
      <c r="B24" t="s">
        <v>1669</v>
      </c>
    </row>
    <row r="25" spans="1:2">
      <c r="B25" t="s">
        <v>1670</v>
      </c>
    </row>
    <row r="26" spans="1:2">
      <c r="B26" t="s">
        <v>1671</v>
      </c>
    </row>
    <row r="27" spans="1:2">
      <c r="B27" t="s">
        <v>1672</v>
      </c>
    </row>
    <row r="28" spans="1:2">
      <c r="B28" t="s">
        <v>1673</v>
      </c>
    </row>
    <row r="29" spans="1:2">
      <c r="B29" t="s">
        <v>1674</v>
      </c>
    </row>
    <row r="30" spans="1:2">
      <c r="B30" t="s">
        <v>1675</v>
      </c>
    </row>
    <row r="31" spans="1:2">
      <c r="B31" t="s">
        <v>1676</v>
      </c>
    </row>
    <row r="32" spans="1:2">
      <c r="B32" t="s">
        <v>1677</v>
      </c>
    </row>
    <row r="33" spans="2:2">
      <c r="B33" t="s">
        <v>1678</v>
      </c>
    </row>
    <row r="34" spans="2:2">
      <c r="B34" t="s">
        <v>1679</v>
      </c>
    </row>
    <row r="35" spans="2:2">
      <c r="B35" t="s">
        <v>1680</v>
      </c>
    </row>
    <row r="36" spans="2:2">
      <c r="B36" t="s">
        <v>1681</v>
      </c>
    </row>
    <row r="37" spans="2:2">
      <c r="B37" t="s">
        <v>1682</v>
      </c>
    </row>
    <row r="38" spans="2:2">
      <c r="B38" t="s">
        <v>1683</v>
      </c>
    </row>
    <row r="39" spans="2:2">
      <c r="B39" t="s">
        <v>1684</v>
      </c>
    </row>
    <row r="40" spans="2:2">
      <c r="B40" t="s">
        <v>1685</v>
      </c>
    </row>
    <row r="41" spans="2:2">
      <c r="B41" t="s">
        <v>1686</v>
      </c>
    </row>
    <row r="42" spans="2:2">
      <c r="B42" t="s">
        <v>1687</v>
      </c>
    </row>
    <row r="43" spans="2:2">
      <c r="B43" t="s">
        <v>1688</v>
      </c>
    </row>
    <row r="44" spans="2:2">
      <c r="B44" t="s">
        <v>1689</v>
      </c>
    </row>
    <row r="45" spans="2:2">
      <c r="B45" t="s">
        <v>1690</v>
      </c>
    </row>
    <row r="46" spans="2:2">
      <c r="B46" t="s">
        <v>1691</v>
      </c>
    </row>
    <row r="47" spans="2:2">
      <c r="B47" t="s">
        <v>1692</v>
      </c>
    </row>
    <row r="48" spans="2:2">
      <c r="B48" t="s">
        <v>1693</v>
      </c>
    </row>
    <row r="49" spans="2:2">
      <c r="B49" t="s">
        <v>1694</v>
      </c>
    </row>
    <row r="50" spans="2:2">
      <c r="B50" t="s">
        <v>1695</v>
      </c>
    </row>
    <row r="51" spans="2:2">
      <c r="B51" t="s">
        <v>1696</v>
      </c>
    </row>
    <row r="52" spans="2:2">
      <c r="B52" t="s">
        <v>1697</v>
      </c>
    </row>
    <row r="53" spans="2:2">
      <c r="B53" t="s">
        <v>1698</v>
      </c>
    </row>
    <row r="54" spans="2:2">
      <c r="B54" t="s">
        <v>1699</v>
      </c>
    </row>
    <row r="55" spans="2:2">
      <c r="B55" t="s">
        <v>1700</v>
      </c>
    </row>
    <row r="56" spans="2:2">
      <c r="B56" t="s">
        <v>1701</v>
      </c>
    </row>
    <row r="57" spans="2:2">
      <c r="B57" t="s">
        <v>1702</v>
      </c>
    </row>
    <row r="58" spans="2:2">
      <c r="B58" t="s">
        <v>1703</v>
      </c>
    </row>
    <row r="59" spans="2:2">
      <c r="B59" t="s">
        <v>1704</v>
      </c>
    </row>
    <row r="60" spans="2:2">
      <c r="B60" t="s">
        <v>1705</v>
      </c>
    </row>
    <row r="61" spans="2:2">
      <c r="B61" t="s">
        <v>1706</v>
      </c>
    </row>
    <row r="62" spans="2:2">
      <c r="B62" t="s">
        <v>1707</v>
      </c>
    </row>
    <row r="63" spans="2:2">
      <c r="B63" t="s">
        <v>1708</v>
      </c>
    </row>
    <row r="64" spans="2:2">
      <c r="B64" t="s">
        <v>1709</v>
      </c>
    </row>
    <row r="65" spans="2:2">
      <c r="B65" t="s">
        <v>1710</v>
      </c>
    </row>
    <row r="66" spans="2:2">
      <c r="B66" t="s">
        <v>1711</v>
      </c>
    </row>
    <row r="67" spans="2:2">
      <c r="B67" t="s">
        <v>1712</v>
      </c>
    </row>
    <row r="68" spans="2:2">
      <c r="B68" t="s">
        <v>1713</v>
      </c>
    </row>
    <row r="69" spans="2:2">
      <c r="B69" t="s">
        <v>1714</v>
      </c>
    </row>
    <row r="70" spans="2:2">
      <c r="B70" t="s">
        <v>1715</v>
      </c>
    </row>
    <row r="71" spans="2:2">
      <c r="B71" t="s">
        <v>1716</v>
      </c>
    </row>
    <row r="72" spans="2:2">
      <c r="B72" t="s">
        <v>1717</v>
      </c>
    </row>
    <row r="73" spans="2:2">
      <c r="B73" t="s">
        <v>1718</v>
      </c>
    </row>
    <row r="74" spans="2:2">
      <c r="B74" t="s">
        <v>1719</v>
      </c>
    </row>
    <row r="75" spans="2:2">
      <c r="B75" t="s">
        <v>1720</v>
      </c>
    </row>
    <row r="76" spans="2:2">
      <c r="B76" t="s">
        <v>1721</v>
      </c>
    </row>
    <row r="77" spans="2:2">
      <c r="B77" t="s">
        <v>1722</v>
      </c>
    </row>
    <row r="78" spans="2:2">
      <c r="B78" t="s">
        <v>1723</v>
      </c>
    </row>
    <row r="79" spans="2:2">
      <c r="B79" t="s">
        <v>1724</v>
      </c>
    </row>
    <row r="80" spans="2:2">
      <c r="B80" t="s">
        <v>1725</v>
      </c>
    </row>
    <row r="81" spans="2:2">
      <c r="B81" t="s">
        <v>1726</v>
      </c>
    </row>
    <row r="82" spans="2:2">
      <c r="B82" t="s">
        <v>1727</v>
      </c>
    </row>
    <row r="83" spans="2:2">
      <c r="B83" t="s">
        <v>1728</v>
      </c>
    </row>
    <row r="84" spans="2:2">
      <c r="B84" t="s">
        <v>1729</v>
      </c>
    </row>
    <row r="85" spans="2:2">
      <c r="B85" t="s">
        <v>1730</v>
      </c>
    </row>
    <row r="86" spans="2:2">
      <c r="B86" t="s">
        <v>1731</v>
      </c>
    </row>
    <row r="87" spans="2:2">
      <c r="B87" t="s">
        <v>1732</v>
      </c>
    </row>
    <row r="88" spans="2:2">
      <c r="B88" t="s">
        <v>1733</v>
      </c>
    </row>
    <row r="89" spans="2:2">
      <c r="B89" t="s">
        <v>1734</v>
      </c>
    </row>
    <row r="90" spans="2:2">
      <c r="B90" t="s">
        <v>1735</v>
      </c>
    </row>
    <row r="91" spans="2:2">
      <c r="B91" t="s">
        <v>1736</v>
      </c>
    </row>
    <row r="92" spans="2:2">
      <c r="B92" t="s">
        <v>1737</v>
      </c>
    </row>
    <row r="93" spans="2:2">
      <c r="B93" t="s">
        <v>1738</v>
      </c>
    </row>
    <row r="94" spans="2:2">
      <c r="B94" t="s">
        <v>1739</v>
      </c>
    </row>
    <row r="95" spans="2:2">
      <c r="B95" t="s">
        <v>1740</v>
      </c>
    </row>
    <row r="96" spans="2:2">
      <c r="B96" t="s">
        <v>1741</v>
      </c>
    </row>
    <row r="97" spans="2:2">
      <c r="B97" t="s">
        <v>1742</v>
      </c>
    </row>
    <row r="98" spans="2:2">
      <c r="B98" t="s">
        <v>1743</v>
      </c>
    </row>
    <row r="99" spans="2:2">
      <c r="B99" t="s">
        <v>1744</v>
      </c>
    </row>
    <row r="100" spans="2:2">
      <c r="B100" t="s">
        <v>1745</v>
      </c>
    </row>
    <row r="101" spans="2:2">
      <c r="B101" t="s">
        <v>1746</v>
      </c>
    </row>
    <row r="102" spans="2:2">
      <c r="B102" t="s">
        <v>1747</v>
      </c>
    </row>
    <row r="103" spans="2:2">
      <c r="B103" t="s">
        <v>1748</v>
      </c>
    </row>
    <row r="104" spans="2:2">
      <c r="B104" t="s">
        <v>1749</v>
      </c>
    </row>
    <row r="105" spans="2:2">
      <c r="B105" t="s">
        <v>1750</v>
      </c>
    </row>
    <row r="106" spans="2:2">
      <c r="B106" t="s">
        <v>1751</v>
      </c>
    </row>
    <row r="107" spans="2:2">
      <c r="B107" t="s">
        <v>1752</v>
      </c>
    </row>
    <row r="108" spans="2:2">
      <c r="B108" t="s">
        <v>1753</v>
      </c>
    </row>
    <row r="109" spans="2:2">
      <c r="B109" t="s">
        <v>1754</v>
      </c>
    </row>
    <row r="110" spans="2:2">
      <c r="B110" t="s">
        <v>1755</v>
      </c>
    </row>
    <row r="111" spans="2:2">
      <c r="B111" t="s">
        <v>1756</v>
      </c>
    </row>
    <row r="112" spans="2:2">
      <c r="B112" t="s">
        <v>1757</v>
      </c>
    </row>
    <row r="113" spans="2:2">
      <c r="B113" t="s">
        <v>1758</v>
      </c>
    </row>
    <row r="114" spans="2:2">
      <c r="B114" t="s">
        <v>1759</v>
      </c>
    </row>
    <row r="115" spans="2:2">
      <c r="B115" t="s">
        <v>1760</v>
      </c>
    </row>
  </sheetData>
  <dataConsolid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7DE8C-296E-4CFA-A199-4D60202A9FB4}">
  <sheetPr codeName="Sheet22"/>
  <dimension ref="A1:I774"/>
  <sheetViews>
    <sheetView workbookViewId="0">
      <pane ySplit="2" topLeftCell="A3" activePane="bottomLeft" state="frozen"/>
      <selection sqref="A1:B1"/>
      <selection pane="bottomLeft" activeCell="D3" sqref="D3"/>
    </sheetView>
  </sheetViews>
  <sheetFormatPr defaultColWidth="0" defaultRowHeight="12.75" zeroHeight="1"/>
  <cols>
    <col min="1" max="1" width="23" style="4" customWidth="1"/>
    <col min="2" max="2" width="9.140625" customWidth="1"/>
    <col min="3" max="4" width="10.28515625" bestFit="1" customWidth="1"/>
    <col min="5" max="9" width="9.140625" customWidth="1"/>
    <col min="10" max="16384" width="9.140625" hidden="1"/>
  </cols>
  <sheetData>
    <row r="1" spans="1:8" ht="15.75">
      <c r="A1" s="18" t="s">
        <v>1647</v>
      </c>
      <c r="B1" s="35"/>
      <c r="C1" s="35"/>
      <c r="D1" s="35"/>
    </row>
    <row r="2" spans="1:8">
      <c r="A2" s="98" t="s">
        <v>1389</v>
      </c>
      <c r="B2" s="98" t="s">
        <v>149</v>
      </c>
      <c r="C2" s="98" t="s">
        <v>1392</v>
      </c>
      <c r="D2" s="98" t="s">
        <v>1</v>
      </c>
      <c r="G2" s="1" t="s">
        <v>1645</v>
      </c>
    </row>
    <row r="3" spans="1:8" ht="15">
      <c r="A3" s="99" t="s">
        <v>1193</v>
      </c>
      <c r="B3" s="3" cm="1">
        <f t="array" ref="B3">SUMPRODUCT((ISNUMBER(MATCH(ESTIMATE!$L$6:$L$205,A3,0)))*(ESTIMATE!$M$6:$M$205)*(ESTIMATE!$A$6:$A$205))</f>
        <v>0</v>
      </c>
      <c r="C3" s="100">
        <v>4.3</v>
      </c>
      <c r="D3" s="97">
        <f t="shared" ref="D3:D66" si="0">SUM(B3*C3)</f>
        <v>0</v>
      </c>
      <c r="F3" s="8" t="s">
        <v>1175</v>
      </c>
      <c r="H3" s="690">
        <f>D771+H2</f>
        <v>0</v>
      </c>
    </row>
    <row r="4" spans="1:8" ht="15">
      <c r="A4" s="99" t="s">
        <v>1194</v>
      </c>
      <c r="B4" s="3" cm="1">
        <f t="array" ref="B4">SUMPRODUCT((ISNUMBER(MATCH(ESTIMATE!$L$6:$L$205,A4,0)))*(ESTIMATE!$M$6:$M$205)*(ESTIMATE!$A$6:$A$205))</f>
        <v>0</v>
      </c>
      <c r="C4" s="100">
        <v>4.3</v>
      </c>
      <c r="D4" s="97">
        <f t="shared" si="0"/>
        <v>0</v>
      </c>
    </row>
    <row r="5" spans="1:8" ht="15">
      <c r="A5" s="99" t="s">
        <v>1195</v>
      </c>
      <c r="B5" s="3" cm="1">
        <f t="array" ref="B5">SUMPRODUCT((ISNUMBER(MATCH(ESTIMATE!$L$6:$L$205,A5,0)))*(ESTIMATE!$M$6:$M$205)*(ESTIMATE!$A$6:$A$205))</f>
        <v>0</v>
      </c>
      <c r="C5" s="100">
        <v>4.3</v>
      </c>
      <c r="D5" s="97">
        <f t="shared" si="0"/>
        <v>0</v>
      </c>
    </row>
    <row r="6" spans="1:8" ht="15">
      <c r="A6" s="99" t="s">
        <v>1196</v>
      </c>
      <c r="B6" s="3" cm="1">
        <f t="array" ref="B6">SUMPRODUCT((ISNUMBER(MATCH(ESTIMATE!$L$6:$L$205,A6,0)))*(ESTIMATE!$M$6:$M$205)*(ESTIMATE!$A$6:$A$205))</f>
        <v>0</v>
      </c>
      <c r="C6" s="100">
        <v>4.3</v>
      </c>
      <c r="D6" s="97">
        <f t="shared" si="0"/>
        <v>0</v>
      </c>
    </row>
    <row r="7" spans="1:8" ht="15">
      <c r="A7" s="99" t="s">
        <v>1197</v>
      </c>
      <c r="B7" s="3" cm="1">
        <f t="array" ref="B7">SUMPRODUCT((ISNUMBER(MATCH(ESTIMATE!$L$6:$L$205,A7,0)))*(ESTIMATE!$M$6:$M$205)*(ESTIMATE!$A$6:$A$205))</f>
        <v>0</v>
      </c>
      <c r="C7" s="100">
        <v>4.3</v>
      </c>
      <c r="D7" s="97">
        <f t="shared" si="0"/>
        <v>0</v>
      </c>
    </row>
    <row r="8" spans="1:8" ht="15">
      <c r="A8" s="99" t="s">
        <v>1198</v>
      </c>
      <c r="B8" s="3" cm="1">
        <f t="array" ref="B8">SUMPRODUCT((ISNUMBER(MATCH(ESTIMATE!$L$6:$L$205,A8,0)))*(ESTIMATE!$M$6:$M$205)*(ESTIMATE!$A$6:$A$205))</f>
        <v>0</v>
      </c>
      <c r="C8" s="100">
        <v>4.3</v>
      </c>
      <c r="D8" s="97">
        <f t="shared" si="0"/>
        <v>0</v>
      </c>
    </row>
    <row r="9" spans="1:8" ht="15">
      <c r="A9" s="99" t="s">
        <v>1199</v>
      </c>
      <c r="B9" s="3" cm="1">
        <f t="array" ref="B9">SUMPRODUCT((ISNUMBER(MATCH(ESTIMATE!$L$6:$L$205,A9,0)))*(ESTIMATE!$M$6:$M$205)*(ESTIMATE!$A$6:$A$205))</f>
        <v>0</v>
      </c>
      <c r="C9" s="100">
        <v>4.3</v>
      </c>
      <c r="D9" s="97">
        <f t="shared" si="0"/>
        <v>0</v>
      </c>
    </row>
    <row r="10" spans="1:8" ht="15">
      <c r="A10" s="99" t="s">
        <v>1200</v>
      </c>
      <c r="B10" s="3" cm="1">
        <f t="array" ref="B10">SUMPRODUCT((ISNUMBER(MATCH(ESTIMATE!$L$6:$L$205,A10,0)))*(ESTIMATE!$M$6:$M$205)*(ESTIMATE!$A$6:$A$205))</f>
        <v>0</v>
      </c>
      <c r="C10" s="100">
        <v>4.3</v>
      </c>
      <c r="D10" s="97">
        <f t="shared" si="0"/>
        <v>0</v>
      </c>
    </row>
    <row r="11" spans="1:8" ht="15">
      <c r="A11" s="99" t="s">
        <v>1201</v>
      </c>
      <c r="B11" s="3" cm="1">
        <f t="array" ref="B11">SUMPRODUCT((ISNUMBER(MATCH(ESTIMATE!$L$6:$L$205,A11,0)))*(ESTIMATE!$M$6:$M$205)*(ESTIMATE!$A$6:$A$205))</f>
        <v>0</v>
      </c>
      <c r="C11" s="100">
        <v>4.3</v>
      </c>
      <c r="D11" s="97">
        <f t="shared" si="0"/>
        <v>0</v>
      </c>
    </row>
    <row r="12" spans="1:8" ht="15">
      <c r="A12" s="99" t="s">
        <v>1202</v>
      </c>
      <c r="B12" s="3" cm="1">
        <f t="array" ref="B12">SUMPRODUCT((ISNUMBER(MATCH(ESTIMATE!$L$6:$L$205,A12,0)))*(ESTIMATE!$M$6:$M$205)*(ESTIMATE!$A$6:$A$205))</f>
        <v>0</v>
      </c>
      <c r="C12" s="100">
        <v>4.3</v>
      </c>
      <c r="D12" s="97">
        <f t="shared" si="0"/>
        <v>0</v>
      </c>
    </row>
    <row r="13" spans="1:8" ht="15">
      <c r="A13" s="99" t="s">
        <v>1203</v>
      </c>
      <c r="B13" s="3" cm="1">
        <f t="array" ref="B13">SUMPRODUCT((ISNUMBER(MATCH(ESTIMATE!$L$6:$L$205,A13,0)))*(ESTIMATE!$M$6:$M$205)*(ESTIMATE!$A$6:$A$205))</f>
        <v>0</v>
      </c>
      <c r="C13" s="100">
        <v>4.4000000000000004</v>
      </c>
      <c r="D13" s="97">
        <f t="shared" si="0"/>
        <v>0</v>
      </c>
    </row>
    <row r="14" spans="1:8" ht="15">
      <c r="A14" s="99" t="s">
        <v>1204</v>
      </c>
      <c r="B14" s="3" cm="1">
        <f t="array" ref="B14">SUMPRODUCT((ISNUMBER(MATCH(ESTIMATE!$L$6:$L$205,A14,0)))*(ESTIMATE!$M$6:$M$205)*(ESTIMATE!$A$6:$A$205))</f>
        <v>0</v>
      </c>
      <c r="C14" s="100">
        <v>4.3</v>
      </c>
      <c r="D14" s="97">
        <f t="shared" si="0"/>
        <v>0</v>
      </c>
    </row>
    <row r="15" spans="1:8" ht="15">
      <c r="A15" s="99" t="s">
        <v>1205</v>
      </c>
      <c r="B15" s="3" cm="1">
        <f t="array" ref="B15">SUMPRODUCT((ISNUMBER(MATCH(ESTIMATE!$L$6:$L$205,A15,0)))*(ESTIMATE!$M$6:$M$205)*(ESTIMATE!$A$6:$A$205))</f>
        <v>0</v>
      </c>
      <c r="C15" s="100">
        <v>4.72</v>
      </c>
      <c r="D15" s="97">
        <f t="shared" si="0"/>
        <v>0</v>
      </c>
    </row>
    <row r="16" spans="1:8" ht="15">
      <c r="A16" s="99" t="s">
        <v>1206</v>
      </c>
      <c r="B16" s="3" cm="1">
        <f t="array" ref="B16">SUMPRODUCT((ISNUMBER(MATCH(ESTIMATE!$L$6:$L$205,A16,0)))*(ESTIMATE!$M$6:$M$205)*(ESTIMATE!$A$6:$A$205))</f>
        <v>0</v>
      </c>
      <c r="C16" s="100">
        <v>4.3</v>
      </c>
      <c r="D16" s="97">
        <f t="shared" si="0"/>
        <v>0</v>
      </c>
    </row>
    <row r="17" spans="1:4" ht="15">
      <c r="A17" s="99" t="s">
        <v>1207</v>
      </c>
      <c r="B17" s="3" cm="1">
        <f t="array" ref="B17">SUMPRODUCT((ISNUMBER(MATCH(ESTIMATE!$L$6:$L$205,A17,0)))*(ESTIMATE!$M$6:$M$205)*(ESTIMATE!$A$6:$A$205))</f>
        <v>0</v>
      </c>
      <c r="C17" s="100">
        <v>4.3</v>
      </c>
      <c r="D17" s="97">
        <f t="shared" si="0"/>
        <v>0</v>
      </c>
    </row>
    <row r="18" spans="1:4" ht="15">
      <c r="A18" s="99" t="s">
        <v>1208</v>
      </c>
      <c r="B18" s="3" cm="1">
        <f t="array" ref="B18">SUMPRODUCT((ISNUMBER(MATCH(ESTIMATE!$L$6:$L$205,A18,0)))*(ESTIMATE!$M$6:$M$205)*(ESTIMATE!$A$6:$A$205))</f>
        <v>0</v>
      </c>
      <c r="C18" s="100">
        <v>4.3</v>
      </c>
      <c r="D18" s="97">
        <f t="shared" si="0"/>
        <v>0</v>
      </c>
    </row>
    <row r="19" spans="1:4" ht="15">
      <c r="A19" s="99" t="s">
        <v>1209</v>
      </c>
      <c r="B19" s="3" cm="1">
        <f t="array" ref="B19">SUMPRODUCT((ISNUMBER(MATCH(ESTIMATE!$L$6:$L$205,A19,0)))*(ESTIMATE!$M$6:$M$205)*(ESTIMATE!$A$6:$A$205))</f>
        <v>0</v>
      </c>
      <c r="C19" s="100">
        <v>4.3</v>
      </c>
      <c r="D19" s="97">
        <f t="shared" si="0"/>
        <v>0</v>
      </c>
    </row>
    <row r="20" spans="1:4" ht="15">
      <c r="A20" s="99" t="s">
        <v>150</v>
      </c>
      <c r="B20" s="3" cm="1">
        <f t="array" ref="B20">SUMPRODUCT((ISNUMBER(MATCH(ESTIMATE!$L$6:$L$205,A20,0)))*(ESTIMATE!$M$6:$M$205)*(ESTIMATE!$A$6:$A$205))</f>
        <v>0</v>
      </c>
      <c r="C20" s="100">
        <v>4.3</v>
      </c>
      <c r="D20" s="97">
        <f t="shared" si="0"/>
        <v>0</v>
      </c>
    </row>
    <row r="21" spans="1:4" ht="15">
      <c r="A21" s="99" t="s">
        <v>151</v>
      </c>
      <c r="B21" s="3" cm="1">
        <f t="array" ref="B21">SUMPRODUCT((ISNUMBER(MATCH(ESTIMATE!$L$6:$L$205,A21,0)))*(ESTIMATE!$M$6:$M$205)*(ESTIMATE!$A$6:$A$205))</f>
        <v>0</v>
      </c>
      <c r="C21" s="100">
        <v>4.3</v>
      </c>
      <c r="D21" s="97">
        <f t="shared" si="0"/>
        <v>0</v>
      </c>
    </row>
    <row r="22" spans="1:4" ht="15">
      <c r="A22" s="99" t="s">
        <v>152</v>
      </c>
      <c r="B22" s="3" cm="1">
        <f t="array" ref="B22">SUMPRODUCT((ISNUMBER(MATCH(ESTIMATE!$L$6:$L$205,A22,0)))*(ESTIMATE!$M$6:$M$205)*(ESTIMATE!$A$6:$A$205))</f>
        <v>0</v>
      </c>
      <c r="C22" s="100">
        <v>4.3</v>
      </c>
      <c r="D22" s="97">
        <f t="shared" si="0"/>
        <v>0</v>
      </c>
    </row>
    <row r="23" spans="1:4" ht="15">
      <c r="A23" s="99" t="s">
        <v>153</v>
      </c>
      <c r="B23" s="3" cm="1">
        <f t="array" ref="B23">SUMPRODUCT((ISNUMBER(MATCH(ESTIMATE!$L$6:$L$205,A23,0)))*(ESTIMATE!$M$6:$M$205)*(ESTIMATE!$A$6:$A$205))</f>
        <v>0</v>
      </c>
      <c r="C23" s="100">
        <v>4.3</v>
      </c>
      <c r="D23" s="97">
        <f t="shared" si="0"/>
        <v>0</v>
      </c>
    </row>
    <row r="24" spans="1:4" ht="15">
      <c r="A24" s="99" t="s">
        <v>154</v>
      </c>
      <c r="B24" s="3" cm="1">
        <f t="array" ref="B24">SUMPRODUCT((ISNUMBER(MATCH(ESTIMATE!$L$6:$L$205,A24,0)))*(ESTIMATE!$M$6:$M$205)*(ESTIMATE!$A$6:$A$205))</f>
        <v>0</v>
      </c>
      <c r="C24" s="100">
        <v>4.3</v>
      </c>
      <c r="D24" s="97">
        <f t="shared" si="0"/>
        <v>0</v>
      </c>
    </row>
    <row r="25" spans="1:4" ht="15">
      <c r="A25" s="99" t="s">
        <v>155</v>
      </c>
      <c r="B25" s="3" cm="1">
        <f t="array" ref="B25">SUMPRODUCT((ISNUMBER(MATCH(ESTIMATE!$L$6:$L$205,A25,0)))*(ESTIMATE!$M$6:$M$205)*(ESTIMATE!$A$6:$A$205))</f>
        <v>0</v>
      </c>
      <c r="C25" s="100">
        <v>4.3</v>
      </c>
      <c r="D25" s="97">
        <f t="shared" si="0"/>
        <v>0</v>
      </c>
    </row>
    <row r="26" spans="1:4" ht="15">
      <c r="A26" s="99" t="s">
        <v>156</v>
      </c>
      <c r="B26" s="3" cm="1">
        <f t="array" ref="B26">SUMPRODUCT((ISNUMBER(MATCH(ESTIMATE!$L$6:$L$205,A26,0)))*(ESTIMATE!$M$6:$M$205)*(ESTIMATE!$A$6:$A$205))</f>
        <v>0</v>
      </c>
      <c r="C26" s="100">
        <v>4.3</v>
      </c>
      <c r="D26" s="97">
        <f t="shared" si="0"/>
        <v>0</v>
      </c>
    </row>
    <row r="27" spans="1:4" ht="15">
      <c r="A27" s="99" t="s">
        <v>157</v>
      </c>
      <c r="B27" s="3" cm="1">
        <f t="array" ref="B27">SUMPRODUCT((ISNUMBER(MATCH(ESTIMATE!$L$6:$L$205,A27,0)))*(ESTIMATE!$M$6:$M$205)*(ESTIMATE!$A$6:$A$205))</f>
        <v>0</v>
      </c>
      <c r="C27" s="100">
        <v>4.3</v>
      </c>
      <c r="D27" s="97">
        <f t="shared" si="0"/>
        <v>0</v>
      </c>
    </row>
    <row r="28" spans="1:4" ht="15">
      <c r="A28" s="99" t="s">
        <v>158</v>
      </c>
      <c r="B28" s="3" cm="1">
        <f t="array" ref="B28">SUMPRODUCT((ISNUMBER(MATCH(ESTIMATE!$L$6:$L$205,A28,0)))*(ESTIMATE!$M$6:$M$205)*(ESTIMATE!$A$6:$A$205))</f>
        <v>0</v>
      </c>
      <c r="C28" s="100">
        <v>4.3</v>
      </c>
      <c r="D28" s="97">
        <f t="shared" si="0"/>
        <v>0</v>
      </c>
    </row>
    <row r="29" spans="1:4" ht="15">
      <c r="A29" s="99" t="s">
        <v>159</v>
      </c>
      <c r="B29" s="3" cm="1">
        <f t="array" ref="B29">SUMPRODUCT((ISNUMBER(MATCH(ESTIMATE!$L$6:$L$205,A29,0)))*(ESTIMATE!$M$6:$M$205)*(ESTIMATE!$A$6:$A$205))</f>
        <v>0</v>
      </c>
      <c r="C29" s="100">
        <v>4.3</v>
      </c>
      <c r="D29" s="97">
        <f t="shared" si="0"/>
        <v>0</v>
      </c>
    </row>
    <row r="30" spans="1:4" ht="15">
      <c r="A30" s="99" t="s">
        <v>160</v>
      </c>
      <c r="B30" s="3" cm="1">
        <f t="array" ref="B30">SUMPRODUCT((ISNUMBER(MATCH(ESTIMATE!$L$6:$L$205,A30,0)))*(ESTIMATE!$M$6:$M$205)*(ESTIMATE!$A$6:$A$205))</f>
        <v>0</v>
      </c>
      <c r="C30" s="100">
        <v>4.3</v>
      </c>
      <c r="D30" s="97">
        <f t="shared" si="0"/>
        <v>0</v>
      </c>
    </row>
    <row r="31" spans="1:4" ht="15">
      <c r="A31" s="99" t="s">
        <v>161</v>
      </c>
      <c r="B31" s="3" cm="1">
        <f t="array" ref="B31">SUMPRODUCT((ISNUMBER(MATCH(ESTIMATE!$L$6:$L$205,A31,0)))*(ESTIMATE!$M$6:$M$205)*(ESTIMATE!$A$6:$A$205))</f>
        <v>0</v>
      </c>
      <c r="C31" s="100">
        <v>4.4000000000000004</v>
      </c>
      <c r="D31" s="97">
        <f t="shared" si="0"/>
        <v>0</v>
      </c>
    </row>
    <row r="32" spans="1:4" ht="15">
      <c r="A32" s="99" t="s">
        <v>162</v>
      </c>
      <c r="B32" s="3" cm="1">
        <f t="array" ref="B32">SUMPRODUCT((ISNUMBER(MATCH(ESTIMATE!$L$6:$L$205,A32,0)))*(ESTIMATE!$M$6:$M$205)*(ESTIMATE!$A$6:$A$205))</f>
        <v>0</v>
      </c>
      <c r="C32" s="100">
        <v>4.47</v>
      </c>
      <c r="D32" s="97">
        <f t="shared" si="0"/>
        <v>0</v>
      </c>
    </row>
    <row r="33" spans="1:4" ht="15">
      <c r="A33" s="99" t="s">
        <v>1210</v>
      </c>
      <c r="B33" s="3" cm="1">
        <f t="array" ref="B33">SUMPRODUCT((ISNUMBER(MATCH(ESTIMATE!$L$6:$L$205,A33,0)))*(ESTIMATE!$M$6:$M$205)*(ESTIMATE!$A$6:$A$205))</f>
        <v>0</v>
      </c>
      <c r="C33" s="100">
        <v>4.53</v>
      </c>
      <c r="D33" s="97">
        <f t="shared" si="0"/>
        <v>0</v>
      </c>
    </row>
    <row r="34" spans="1:4" ht="15">
      <c r="A34" s="99" t="s">
        <v>163</v>
      </c>
      <c r="B34" s="3" cm="1">
        <f t="array" ref="B34">SUMPRODUCT((ISNUMBER(MATCH(ESTIMATE!$L$6:$L$205,A34,0)))*(ESTIMATE!$M$6:$M$205)*(ESTIMATE!$A$6:$A$205))</f>
        <v>0</v>
      </c>
      <c r="C34" s="100">
        <v>4.5999999999999996</v>
      </c>
      <c r="D34" s="97">
        <f t="shared" si="0"/>
        <v>0</v>
      </c>
    </row>
    <row r="35" spans="1:4" ht="15">
      <c r="A35" s="99" t="s">
        <v>164</v>
      </c>
      <c r="B35" s="3" cm="1">
        <f t="array" ref="B35">SUMPRODUCT((ISNUMBER(MATCH(ESTIMATE!$L$6:$L$205,A35,0)))*(ESTIMATE!$M$6:$M$205)*(ESTIMATE!$A$6:$A$205))</f>
        <v>0</v>
      </c>
      <c r="C35" s="100">
        <v>4.7</v>
      </c>
      <c r="D35" s="97">
        <f t="shared" si="0"/>
        <v>0</v>
      </c>
    </row>
    <row r="36" spans="1:4" ht="15">
      <c r="A36" s="99" t="s">
        <v>165</v>
      </c>
      <c r="B36" s="3" cm="1">
        <f t="array" ref="B36">SUMPRODUCT((ISNUMBER(MATCH(ESTIMATE!$L$6:$L$205,A36,0)))*(ESTIMATE!$M$6:$M$205)*(ESTIMATE!$A$6:$A$205))</f>
        <v>0</v>
      </c>
      <c r="C36" s="100">
        <v>4.72</v>
      </c>
      <c r="D36" s="97">
        <f t="shared" si="0"/>
        <v>0</v>
      </c>
    </row>
    <row r="37" spans="1:4" ht="15">
      <c r="A37" s="99" t="s">
        <v>166</v>
      </c>
      <c r="B37" s="3" cm="1">
        <f t="array" ref="B37">SUMPRODUCT((ISNUMBER(MATCH(ESTIMATE!$L$6:$L$205,A37,0)))*(ESTIMATE!$M$6:$M$205)*(ESTIMATE!$A$6:$A$205))</f>
        <v>0</v>
      </c>
      <c r="C37" s="100">
        <v>4.78</v>
      </c>
      <c r="D37" s="97">
        <f t="shared" si="0"/>
        <v>0</v>
      </c>
    </row>
    <row r="38" spans="1:4" ht="15">
      <c r="A38" s="99" t="s">
        <v>167</v>
      </c>
      <c r="B38" s="3" cm="1">
        <f t="array" ref="B38">SUMPRODUCT((ISNUMBER(MATCH(ESTIMATE!$L$6:$L$205,A38,0)))*(ESTIMATE!$M$6:$M$205)*(ESTIMATE!$A$6:$A$205))</f>
        <v>0</v>
      </c>
      <c r="C38" s="100">
        <v>4.88</v>
      </c>
      <c r="D38" s="97">
        <f t="shared" si="0"/>
        <v>0</v>
      </c>
    </row>
    <row r="39" spans="1:4" ht="15">
      <c r="A39" s="99" t="s">
        <v>168</v>
      </c>
      <c r="B39" s="3" cm="1">
        <f t="array" ref="B39">SUMPRODUCT((ISNUMBER(MATCH(ESTIMATE!$L$6:$L$205,A39,0)))*(ESTIMATE!$M$6:$M$205)*(ESTIMATE!$A$6:$A$205))</f>
        <v>0</v>
      </c>
      <c r="C39" s="100">
        <v>4.93</v>
      </c>
      <c r="D39" s="97">
        <f t="shared" si="0"/>
        <v>0</v>
      </c>
    </row>
    <row r="40" spans="1:4" ht="15">
      <c r="A40" s="99" t="s">
        <v>169</v>
      </c>
      <c r="B40" s="3" cm="1">
        <f t="array" ref="B40">SUMPRODUCT((ISNUMBER(MATCH(ESTIMATE!$L$6:$L$205,A40,0)))*(ESTIMATE!$M$6:$M$205)*(ESTIMATE!$A$6:$A$205))</f>
        <v>0</v>
      </c>
      <c r="C40" s="100">
        <v>5.05</v>
      </c>
      <c r="D40" s="97">
        <f t="shared" si="0"/>
        <v>0</v>
      </c>
    </row>
    <row r="41" spans="1:4" ht="15">
      <c r="A41" s="99" t="s">
        <v>170</v>
      </c>
      <c r="B41" s="3" cm="1">
        <f t="array" ref="B41">SUMPRODUCT((ISNUMBER(MATCH(ESTIMATE!$L$6:$L$205,A41,0)))*(ESTIMATE!$M$6:$M$205)*(ESTIMATE!$A$6:$A$205))</f>
        <v>0</v>
      </c>
      <c r="C41" s="100">
        <v>5.12</v>
      </c>
      <c r="D41" s="97">
        <f t="shared" si="0"/>
        <v>0</v>
      </c>
    </row>
    <row r="42" spans="1:4" ht="15">
      <c r="A42" s="99" t="s">
        <v>171</v>
      </c>
      <c r="B42" s="3" cm="1">
        <f t="array" ref="B42">SUMPRODUCT((ISNUMBER(MATCH(ESTIMATE!$L$6:$L$205,A42,0)))*(ESTIMATE!$M$6:$M$205)*(ESTIMATE!$A$6:$A$205))</f>
        <v>0</v>
      </c>
      <c r="C42" s="100">
        <v>5.23</v>
      </c>
      <c r="D42" s="97">
        <f t="shared" si="0"/>
        <v>0</v>
      </c>
    </row>
    <row r="43" spans="1:4" ht="15">
      <c r="A43" s="99" t="s">
        <v>172</v>
      </c>
      <c r="B43" s="3" cm="1">
        <f t="array" ref="B43">SUMPRODUCT((ISNUMBER(MATCH(ESTIMATE!$L$6:$L$205,A43,0)))*(ESTIMATE!$M$6:$M$205)*(ESTIMATE!$A$6:$A$205))</f>
        <v>0</v>
      </c>
      <c r="C43" s="100">
        <v>5.35</v>
      </c>
      <c r="D43" s="97">
        <f t="shared" si="0"/>
        <v>0</v>
      </c>
    </row>
    <row r="44" spans="1:4" ht="15">
      <c r="A44" s="99" t="s">
        <v>173</v>
      </c>
      <c r="B44" s="3" cm="1">
        <f t="array" ref="B44">SUMPRODUCT((ISNUMBER(MATCH(ESTIMATE!$L$6:$L$205,A44,0)))*(ESTIMATE!$M$6:$M$205)*(ESTIMATE!$A$6:$A$205))</f>
        <v>0</v>
      </c>
      <c r="C44" s="100">
        <v>5.45</v>
      </c>
      <c r="D44" s="97">
        <f t="shared" si="0"/>
        <v>0</v>
      </c>
    </row>
    <row r="45" spans="1:4" ht="15">
      <c r="A45" s="99" t="s">
        <v>174</v>
      </c>
      <c r="B45" s="3" cm="1">
        <f t="array" ref="B45">SUMPRODUCT((ISNUMBER(MATCH(ESTIMATE!$L$6:$L$205,A45,0)))*(ESTIMATE!$M$6:$M$205)*(ESTIMATE!$A$6:$A$205))</f>
        <v>0</v>
      </c>
      <c r="C45" s="100">
        <v>5.53</v>
      </c>
      <c r="D45" s="97">
        <f t="shared" si="0"/>
        <v>0</v>
      </c>
    </row>
    <row r="46" spans="1:4" ht="15">
      <c r="A46" s="99" t="s">
        <v>175</v>
      </c>
      <c r="B46" s="3" cm="1">
        <f t="array" ref="B46">SUMPRODUCT((ISNUMBER(MATCH(ESTIMATE!$L$6:$L$205,A46,0)))*(ESTIMATE!$M$6:$M$205)*(ESTIMATE!$A$6:$A$205))</f>
        <v>0</v>
      </c>
      <c r="C46" s="100">
        <v>5.65</v>
      </c>
      <c r="D46" s="97">
        <f t="shared" si="0"/>
        <v>0</v>
      </c>
    </row>
    <row r="47" spans="1:4" ht="15">
      <c r="A47" s="99" t="s">
        <v>176</v>
      </c>
      <c r="B47" s="3" cm="1">
        <f t="array" ref="B47">SUMPRODUCT((ISNUMBER(MATCH(ESTIMATE!$L$6:$L$205,A47,0)))*(ESTIMATE!$M$6:$M$205)*(ESTIMATE!$A$6:$A$205))</f>
        <v>0</v>
      </c>
      <c r="C47" s="100">
        <v>5.75</v>
      </c>
      <c r="D47" s="97">
        <f t="shared" si="0"/>
        <v>0</v>
      </c>
    </row>
    <row r="48" spans="1:4" ht="15">
      <c r="A48" s="99" t="s">
        <v>177</v>
      </c>
      <c r="B48" s="3" cm="1">
        <f t="array" ref="B48">SUMPRODUCT((ISNUMBER(MATCH(ESTIMATE!$L$6:$L$205,A48,0)))*(ESTIMATE!$M$6:$M$205)*(ESTIMATE!$A$6:$A$205))</f>
        <v>0</v>
      </c>
      <c r="C48" s="100">
        <v>5.8</v>
      </c>
      <c r="D48" s="97">
        <f t="shared" si="0"/>
        <v>0</v>
      </c>
    </row>
    <row r="49" spans="1:4" ht="15">
      <c r="A49" s="99" t="s">
        <v>178</v>
      </c>
      <c r="B49" s="3" cm="1">
        <f t="array" ref="B49">SUMPRODUCT((ISNUMBER(MATCH(ESTIMATE!$L$6:$L$205,A49,0)))*(ESTIMATE!$M$6:$M$205)*(ESTIMATE!$A$6:$A$205))</f>
        <v>0</v>
      </c>
      <c r="C49" s="100">
        <v>5.88</v>
      </c>
      <c r="D49" s="97">
        <f t="shared" si="0"/>
        <v>0</v>
      </c>
    </row>
    <row r="50" spans="1:4" ht="15">
      <c r="A50" s="99" t="s">
        <v>179</v>
      </c>
      <c r="B50" s="3" cm="1">
        <f t="array" ref="B50">SUMPRODUCT((ISNUMBER(MATCH(ESTIMATE!$L$6:$L$205,A50,0)))*(ESTIMATE!$M$6:$M$205)*(ESTIMATE!$A$6:$A$205))</f>
        <v>0</v>
      </c>
      <c r="C50" s="100">
        <v>6</v>
      </c>
      <c r="D50" s="97">
        <f t="shared" si="0"/>
        <v>0</v>
      </c>
    </row>
    <row r="51" spans="1:4" ht="15">
      <c r="A51" s="99" t="s">
        <v>180</v>
      </c>
      <c r="B51" s="3" cm="1">
        <f t="array" ref="B51">SUMPRODUCT((ISNUMBER(MATCH(ESTIMATE!$L$6:$L$205,A51,0)))*(ESTIMATE!$M$6:$M$205)*(ESTIMATE!$A$6:$A$205))</f>
        <v>0</v>
      </c>
      <c r="C51" s="100">
        <v>6.07</v>
      </c>
      <c r="D51" s="97">
        <f t="shared" si="0"/>
        <v>0</v>
      </c>
    </row>
    <row r="52" spans="1:4" ht="15">
      <c r="A52" s="99" t="s">
        <v>181</v>
      </c>
      <c r="B52" s="3" cm="1">
        <f t="array" ref="B52">SUMPRODUCT((ISNUMBER(MATCH(ESTIMATE!$L$6:$L$205,A52,0)))*(ESTIMATE!$M$6:$M$205)*(ESTIMATE!$A$6:$A$205))</f>
        <v>0</v>
      </c>
      <c r="C52" s="100">
        <v>6.18</v>
      </c>
      <c r="D52" s="97">
        <f t="shared" si="0"/>
        <v>0</v>
      </c>
    </row>
    <row r="53" spans="1:4" ht="15">
      <c r="A53" s="99" t="s">
        <v>182</v>
      </c>
      <c r="B53" s="3" cm="1">
        <f t="array" ref="B53">SUMPRODUCT((ISNUMBER(MATCH(ESTIMATE!$L$6:$L$205,A53,0)))*(ESTIMATE!$M$6:$M$205)*(ESTIMATE!$A$6:$A$205))</f>
        <v>0</v>
      </c>
      <c r="C53" s="100">
        <v>6.25</v>
      </c>
      <c r="D53" s="97">
        <f t="shared" si="0"/>
        <v>0</v>
      </c>
    </row>
    <row r="54" spans="1:4" ht="15">
      <c r="A54" s="99" t="s">
        <v>183</v>
      </c>
      <c r="B54" s="3" cm="1">
        <f t="array" ref="B54">SUMPRODUCT((ISNUMBER(MATCH(ESTIMATE!$L$6:$L$205,A54,0)))*(ESTIMATE!$M$6:$M$205)*(ESTIMATE!$A$6:$A$205))</f>
        <v>0</v>
      </c>
      <c r="C54" s="100">
        <v>6.33</v>
      </c>
      <c r="D54" s="97">
        <f t="shared" si="0"/>
        <v>0</v>
      </c>
    </row>
    <row r="55" spans="1:4" ht="15">
      <c r="A55" s="99" t="s">
        <v>184</v>
      </c>
      <c r="B55" s="3" cm="1">
        <f t="array" ref="B55">SUMPRODUCT((ISNUMBER(MATCH(ESTIMATE!$L$6:$L$205,A55,0)))*(ESTIMATE!$M$6:$M$205)*(ESTIMATE!$A$6:$A$205))</f>
        <v>0</v>
      </c>
      <c r="C55" s="100">
        <v>6.4</v>
      </c>
      <c r="D55" s="97">
        <f t="shared" si="0"/>
        <v>0</v>
      </c>
    </row>
    <row r="56" spans="1:4" ht="15">
      <c r="A56" s="99" t="s">
        <v>1211</v>
      </c>
      <c r="B56" s="3" cm="1">
        <f t="array" ref="B56">SUMPRODUCT((ISNUMBER(MATCH(ESTIMATE!$L$6:$L$205,A56,0)))*(ESTIMATE!$M$6:$M$205)*(ESTIMATE!$A$6:$A$205))</f>
        <v>0</v>
      </c>
      <c r="C56" s="100">
        <v>6.48</v>
      </c>
      <c r="D56" s="97">
        <f t="shared" si="0"/>
        <v>0</v>
      </c>
    </row>
    <row r="57" spans="1:4" ht="15">
      <c r="A57" s="99" t="s">
        <v>1212</v>
      </c>
      <c r="B57" s="3" cm="1">
        <f t="array" ref="B57">SUMPRODUCT((ISNUMBER(MATCH(ESTIMATE!$L$6:$L$205,A57,0)))*(ESTIMATE!$M$6:$M$205)*(ESTIMATE!$A$6:$A$205))</f>
        <v>0</v>
      </c>
      <c r="C57" s="100">
        <v>6.53</v>
      </c>
      <c r="D57" s="97">
        <f t="shared" si="0"/>
        <v>0</v>
      </c>
    </row>
    <row r="58" spans="1:4" ht="15">
      <c r="A58" s="99" t="s">
        <v>185</v>
      </c>
      <c r="B58" s="3" cm="1">
        <f t="array" ref="B58">SUMPRODUCT((ISNUMBER(MATCH(ESTIMATE!$L$6:$L$205,A58,0)))*(ESTIMATE!$M$6:$M$205)*(ESTIMATE!$A$6:$A$205))</f>
        <v>0</v>
      </c>
      <c r="C58" s="100">
        <v>6.62</v>
      </c>
      <c r="D58" s="97">
        <f t="shared" si="0"/>
        <v>0</v>
      </c>
    </row>
    <row r="59" spans="1:4" ht="15">
      <c r="A59" s="99" t="s">
        <v>1213</v>
      </c>
      <c r="B59" s="3" cm="1">
        <f t="array" ref="B59">SUMPRODUCT((ISNUMBER(MATCH(ESTIMATE!$L$6:$L$205,A59,0)))*(ESTIMATE!$M$6:$M$205)*(ESTIMATE!$A$6:$A$205))</f>
        <v>0</v>
      </c>
      <c r="C59" s="100">
        <v>6.7</v>
      </c>
      <c r="D59" s="97">
        <f t="shared" si="0"/>
        <v>0</v>
      </c>
    </row>
    <row r="60" spans="1:4" ht="15">
      <c r="A60" s="99" t="s">
        <v>1214</v>
      </c>
      <c r="B60" s="3" cm="1">
        <f t="array" ref="B60">SUMPRODUCT((ISNUMBER(MATCH(ESTIMATE!$L$6:$L$205,A60,0)))*(ESTIMATE!$M$6:$M$205)*(ESTIMATE!$A$6:$A$205))</f>
        <v>0</v>
      </c>
      <c r="C60" s="100">
        <v>6.77</v>
      </c>
      <c r="D60" s="97">
        <f t="shared" si="0"/>
        <v>0</v>
      </c>
    </row>
    <row r="61" spans="1:4" ht="15">
      <c r="A61" s="99" t="s">
        <v>1215</v>
      </c>
      <c r="B61" s="3" cm="1">
        <f t="array" ref="B61">SUMPRODUCT((ISNUMBER(MATCH(ESTIMATE!$L$6:$L$205,A61,0)))*(ESTIMATE!$M$6:$M$205)*(ESTIMATE!$A$6:$A$205))</f>
        <v>0</v>
      </c>
      <c r="C61" s="100">
        <v>6.83</v>
      </c>
      <c r="D61" s="97">
        <f t="shared" si="0"/>
        <v>0</v>
      </c>
    </row>
    <row r="62" spans="1:4" ht="15">
      <c r="A62" s="99" t="s">
        <v>1216</v>
      </c>
      <c r="B62" s="3" cm="1">
        <f t="array" ref="B62">SUMPRODUCT((ISNUMBER(MATCH(ESTIMATE!$L$6:$L$205,A62,0)))*(ESTIMATE!$M$6:$M$205)*(ESTIMATE!$A$6:$A$205))</f>
        <v>0</v>
      </c>
      <c r="C62" s="100">
        <v>6.9</v>
      </c>
      <c r="D62" s="97">
        <f t="shared" si="0"/>
        <v>0</v>
      </c>
    </row>
    <row r="63" spans="1:4" ht="15">
      <c r="A63" s="99" t="s">
        <v>1217</v>
      </c>
      <c r="B63" s="3" cm="1">
        <f t="array" ref="B63">SUMPRODUCT((ISNUMBER(MATCH(ESTIMATE!$L$6:$L$205,A63,0)))*(ESTIMATE!$M$6:$M$205)*(ESTIMATE!$A$6:$A$205))</f>
        <v>0</v>
      </c>
      <c r="C63" s="100">
        <v>6.98</v>
      </c>
      <c r="D63" s="97">
        <f t="shared" si="0"/>
        <v>0</v>
      </c>
    </row>
    <row r="64" spans="1:4" ht="15">
      <c r="A64" s="99" t="s">
        <v>1218</v>
      </c>
      <c r="B64" s="3" cm="1">
        <f t="array" ref="B64">SUMPRODUCT((ISNUMBER(MATCH(ESTIMATE!$L$6:$L$205,A64,0)))*(ESTIMATE!$M$6:$M$205)*(ESTIMATE!$A$6:$A$205))</f>
        <v>0</v>
      </c>
      <c r="C64" s="100">
        <v>7.05</v>
      </c>
      <c r="D64" s="97">
        <f t="shared" si="0"/>
        <v>0</v>
      </c>
    </row>
    <row r="65" spans="1:4" ht="15">
      <c r="A65" s="99" t="s">
        <v>1219</v>
      </c>
      <c r="B65" s="3" cm="1">
        <f t="array" ref="B65">SUMPRODUCT((ISNUMBER(MATCH(ESTIMATE!$L$6:$L$205,A65,0)))*(ESTIMATE!$M$6:$M$205)*(ESTIMATE!$A$6:$A$205))</f>
        <v>0</v>
      </c>
      <c r="C65" s="100">
        <v>7.12</v>
      </c>
      <c r="D65" s="97">
        <f t="shared" si="0"/>
        <v>0</v>
      </c>
    </row>
    <row r="66" spans="1:4" ht="15">
      <c r="A66" s="99" t="s">
        <v>1220</v>
      </c>
      <c r="B66" s="3" cm="1">
        <f t="array" ref="B66">SUMPRODUCT((ISNUMBER(MATCH(ESTIMATE!$L$6:$L$205,A66,0)))*(ESTIMATE!$M$6:$M$205)*(ESTIMATE!$A$6:$A$205))</f>
        <v>0</v>
      </c>
      <c r="C66" s="100">
        <v>7.23</v>
      </c>
      <c r="D66" s="97">
        <f t="shared" si="0"/>
        <v>0</v>
      </c>
    </row>
    <row r="67" spans="1:4" ht="15">
      <c r="A67" s="99" t="s">
        <v>1221</v>
      </c>
      <c r="B67" s="3" cm="1">
        <f t="array" ref="B67">SUMPRODUCT((ISNUMBER(MATCH(ESTIMATE!$L$6:$L$205,A67,0)))*(ESTIMATE!$M$6:$M$205)*(ESTIMATE!$A$6:$A$205))</f>
        <v>0</v>
      </c>
      <c r="C67" s="100">
        <v>7.3</v>
      </c>
      <c r="D67" s="97">
        <f t="shared" ref="D67:D130" si="1">SUM(B67*C67)</f>
        <v>0</v>
      </c>
    </row>
    <row r="68" spans="1:4" ht="15">
      <c r="A68" s="99" t="s">
        <v>1222</v>
      </c>
      <c r="B68" s="3" cm="1">
        <f t="array" ref="B68">SUMPRODUCT((ISNUMBER(MATCH(ESTIMATE!$L$6:$L$205,A68,0)))*(ESTIMATE!$M$6:$M$205)*(ESTIMATE!$A$6:$A$205))</f>
        <v>0</v>
      </c>
      <c r="C68" s="100">
        <v>7.4</v>
      </c>
      <c r="D68" s="97">
        <f t="shared" si="1"/>
        <v>0</v>
      </c>
    </row>
    <row r="69" spans="1:4" ht="15">
      <c r="A69" s="99" t="s">
        <v>1223</v>
      </c>
      <c r="B69" s="3" cm="1">
        <f t="array" ref="B69">SUMPRODUCT((ISNUMBER(MATCH(ESTIMATE!$L$6:$L$205,A69,0)))*(ESTIMATE!$M$6:$M$205)*(ESTIMATE!$A$6:$A$205))</f>
        <v>0</v>
      </c>
      <c r="C69" s="100">
        <v>7.45</v>
      </c>
      <c r="D69" s="97">
        <f t="shared" si="1"/>
        <v>0</v>
      </c>
    </row>
    <row r="70" spans="1:4" ht="15">
      <c r="A70" s="99" t="s">
        <v>1224</v>
      </c>
      <c r="B70" s="3" cm="1">
        <f t="array" ref="B70">SUMPRODUCT((ISNUMBER(MATCH(ESTIMATE!$L$6:$L$205,A70,0)))*(ESTIMATE!$M$6:$M$205)*(ESTIMATE!$A$6:$A$205))</f>
        <v>0</v>
      </c>
      <c r="C70" s="100">
        <v>7.58</v>
      </c>
      <c r="D70" s="97">
        <f t="shared" si="1"/>
        <v>0</v>
      </c>
    </row>
    <row r="71" spans="1:4" ht="15">
      <c r="A71" s="99" t="s">
        <v>1225</v>
      </c>
      <c r="B71" s="3" cm="1">
        <f t="array" ref="B71">SUMPRODUCT((ISNUMBER(MATCH(ESTIMATE!$L$6:$L$205,A71,0)))*(ESTIMATE!$M$6:$M$205)*(ESTIMATE!$A$6:$A$205))</f>
        <v>0</v>
      </c>
      <c r="C71" s="100">
        <v>7.63</v>
      </c>
      <c r="D71" s="97">
        <f t="shared" si="1"/>
        <v>0</v>
      </c>
    </row>
    <row r="72" spans="1:4" ht="15">
      <c r="A72" s="99" t="s">
        <v>1226</v>
      </c>
      <c r="B72" s="3" cm="1">
        <f t="array" ref="B72">SUMPRODUCT((ISNUMBER(MATCH(ESTIMATE!$L$6:$L$205,A72,0)))*(ESTIMATE!$M$6:$M$205)*(ESTIMATE!$A$6:$A$205))</f>
        <v>0</v>
      </c>
      <c r="C72" s="100">
        <v>7.75</v>
      </c>
      <c r="D72" s="97">
        <f t="shared" si="1"/>
        <v>0</v>
      </c>
    </row>
    <row r="73" spans="1:4" ht="15">
      <c r="A73" s="99" t="s">
        <v>1227</v>
      </c>
      <c r="B73" s="3" cm="1">
        <f t="array" ref="B73">SUMPRODUCT((ISNUMBER(MATCH(ESTIMATE!$L$6:$L$205,A73,0)))*(ESTIMATE!$M$6:$M$205)*(ESTIMATE!$A$6:$A$205))</f>
        <v>0</v>
      </c>
      <c r="C73" s="100">
        <v>7.88</v>
      </c>
      <c r="D73" s="97">
        <f t="shared" si="1"/>
        <v>0</v>
      </c>
    </row>
    <row r="74" spans="1:4" ht="15">
      <c r="A74" s="99" t="s">
        <v>1228</v>
      </c>
      <c r="B74" s="3" cm="1">
        <f t="array" ref="B74">SUMPRODUCT((ISNUMBER(MATCH(ESTIMATE!$L$6:$L$205,A74,0)))*(ESTIMATE!$M$6:$M$205)*(ESTIMATE!$A$6:$A$205))</f>
        <v>0</v>
      </c>
      <c r="C74" s="100">
        <v>8.3000000000000007</v>
      </c>
      <c r="D74" s="97">
        <f t="shared" si="1"/>
        <v>0</v>
      </c>
    </row>
    <row r="75" spans="1:4" ht="15">
      <c r="A75" s="99" t="s">
        <v>1229</v>
      </c>
      <c r="B75" s="3" cm="1">
        <f t="array" ref="B75">SUMPRODUCT((ISNUMBER(MATCH(ESTIMATE!$L$6:$L$205,A75,0)))*(ESTIMATE!$M$6:$M$205)*(ESTIMATE!$A$6:$A$205))</f>
        <v>0</v>
      </c>
      <c r="C75" s="100">
        <v>8.4</v>
      </c>
      <c r="D75" s="97">
        <f t="shared" si="1"/>
        <v>0</v>
      </c>
    </row>
    <row r="76" spans="1:4" ht="15">
      <c r="A76" s="99" t="s">
        <v>1230</v>
      </c>
      <c r="B76" s="3" cm="1">
        <f t="array" ref="B76">SUMPRODUCT((ISNUMBER(MATCH(ESTIMATE!$L$6:$L$205,A76,0)))*(ESTIMATE!$M$6:$M$205)*(ESTIMATE!$A$6:$A$205))</f>
        <v>0</v>
      </c>
      <c r="C76" s="101"/>
      <c r="D76" s="97">
        <f t="shared" si="1"/>
        <v>0</v>
      </c>
    </row>
    <row r="77" spans="1:4" ht="15">
      <c r="A77" s="99" t="s">
        <v>1231</v>
      </c>
      <c r="B77" s="3" cm="1">
        <f t="array" ref="B77">SUMPRODUCT((ISNUMBER(MATCH(ESTIMATE!$L$6:$L$205,A77,0)))*(ESTIMATE!$M$6:$M$205)*(ESTIMATE!$A$6:$A$205))</f>
        <v>0</v>
      </c>
      <c r="C77" s="100">
        <v>4.58</v>
      </c>
      <c r="D77" s="97">
        <f t="shared" si="1"/>
        <v>0</v>
      </c>
    </row>
    <row r="78" spans="1:4" ht="15">
      <c r="A78" s="99" t="s">
        <v>1232</v>
      </c>
      <c r="B78" s="3" cm="1">
        <f t="array" ref="B78">SUMPRODUCT((ISNUMBER(MATCH(ESTIMATE!$L$6:$L$205,A78,0)))*(ESTIMATE!$M$6:$M$205)*(ESTIMATE!$A$6:$A$205))</f>
        <v>0</v>
      </c>
      <c r="C78" s="100">
        <v>4.58</v>
      </c>
      <c r="D78" s="97">
        <f t="shared" si="1"/>
        <v>0</v>
      </c>
    </row>
    <row r="79" spans="1:4" ht="15">
      <c r="A79" s="99" t="s">
        <v>217</v>
      </c>
      <c r="B79" s="3" cm="1">
        <f t="array" ref="B79">SUMPRODUCT((ISNUMBER(MATCH(ESTIMATE!$L$6:$L$205,A79,0)))*(ESTIMATE!$M$6:$M$205)*(ESTIMATE!$A$6:$A$205))</f>
        <v>0</v>
      </c>
      <c r="C79" s="100">
        <v>4.58</v>
      </c>
      <c r="D79" s="97">
        <f t="shared" si="1"/>
        <v>0</v>
      </c>
    </row>
    <row r="80" spans="1:4" ht="15">
      <c r="A80" s="99" t="s">
        <v>218</v>
      </c>
      <c r="B80" s="3" cm="1">
        <f t="array" ref="B80">SUMPRODUCT((ISNUMBER(MATCH(ESTIMATE!$L$6:$L$205,A80,0)))*(ESTIMATE!$M$6:$M$205)*(ESTIMATE!$A$6:$A$205))</f>
        <v>0</v>
      </c>
      <c r="C80" s="100">
        <v>4.58</v>
      </c>
      <c r="D80" s="97">
        <f t="shared" si="1"/>
        <v>0</v>
      </c>
    </row>
    <row r="81" spans="1:4" ht="15">
      <c r="A81" s="99" t="s">
        <v>219</v>
      </c>
      <c r="B81" s="3" cm="1">
        <f t="array" ref="B81">SUMPRODUCT((ISNUMBER(MATCH(ESTIMATE!$L$6:$L$205,A81,0)))*(ESTIMATE!$M$6:$M$205)*(ESTIMATE!$A$6:$A$205))</f>
        <v>0</v>
      </c>
      <c r="C81" s="100">
        <v>4.58</v>
      </c>
      <c r="D81" s="97">
        <f t="shared" si="1"/>
        <v>0</v>
      </c>
    </row>
    <row r="82" spans="1:4" ht="15">
      <c r="A82" s="99" t="s">
        <v>220</v>
      </c>
      <c r="B82" s="3" cm="1">
        <f t="array" ref="B82">SUMPRODUCT((ISNUMBER(MATCH(ESTIMATE!$L$6:$L$205,A82,0)))*(ESTIMATE!$M$6:$M$205)*(ESTIMATE!$A$6:$A$205))</f>
        <v>0</v>
      </c>
      <c r="C82" s="100">
        <v>4.58</v>
      </c>
      <c r="D82" s="97">
        <f t="shared" si="1"/>
        <v>0</v>
      </c>
    </row>
    <row r="83" spans="1:4" ht="15">
      <c r="A83" s="99" t="s">
        <v>221</v>
      </c>
      <c r="B83" s="3" cm="1">
        <f t="array" ref="B83">SUMPRODUCT((ISNUMBER(MATCH(ESTIMATE!$L$6:$L$205,A83,0)))*(ESTIMATE!$M$6:$M$205)*(ESTIMATE!$A$6:$A$205))</f>
        <v>0</v>
      </c>
      <c r="C83" s="100">
        <v>4.58</v>
      </c>
      <c r="D83" s="97">
        <f t="shared" si="1"/>
        <v>0</v>
      </c>
    </row>
    <row r="84" spans="1:4" ht="15">
      <c r="A84" s="99" t="s">
        <v>222</v>
      </c>
      <c r="B84" s="3" cm="1">
        <f t="array" ref="B84">SUMPRODUCT((ISNUMBER(MATCH(ESTIMATE!$L$6:$L$205,A84,0)))*(ESTIMATE!$M$6:$M$205)*(ESTIMATE!$A$6:$A$205))</f>
        <v>0</v>
      </c>
      <c r="C84" s="100">
        <v>4.58</v>
      </c>
      <c r="D84" s="97">
        <f t="shared" si="1"/>
        <v>0</v>
      </c>
    </row>
    <row r="85" spans="1:4" ht="15">
      <c r="A85" s="99" t="s">
        <v>223</v>
      </c>
      <c r="B85" s="3" cm="1">
        <f t="array" ref="B85">SUMPRODUCT((ISNUMBER(MATCH(ESTIMATE!$L$6:$L$205,A85,0)))*(ESTIMATE!$M$6:$M$205)*(ESTIMATE!$A$6:$A$205))</f>
        <v>0</v>
      </c>
      <c r="C85" s="100">
        <v>4.58</v>
      </c>
      <c r="D85" s="97">
        <f t="shared" si="1"/>
        <v>0</v>
      </c>
    </row>
    <row r="86" spans="1:4" ht="15">
      <c r="A86" s="99" t="s">
        <v>224</v>
      </c>
      <c r="B86" s="3" cm="1">
        <f t="array" ref="B86">SUMPRODUCT((ISNUMBER(MATCH(ESTIMATE!$L$6:$L$205,A86,0)))*(ESTIMATE!$M$6:$M$205)*(ESTIMATE!$A$6:$A$205))</f>
        <v>0</v>
      </c>
      <c r="C86" s="100">
        <v>4.58</v>
      </c>
      <c r="D86" s="97">
        <f t="shared" si="1"/>
        <v>0</v>
      </c>
    </row>
    <row r="87" spans="1:4" ht="15">
      <c r="A87" s="99" t="s">
        <v>225</v>
      </c>
      <c r="B87" s="3" cm="1">
        <f t="array" ref="B87">SUMPRODUCT((ISNUMBER(MATCH(ESTIMATE!$L$6:$L$205,A87,0)))*(ESTIMATE!$M$6:$M$205)*(ESTIMATE!$A$6:$A$205))</f>
        <v>0</v>
      </c>
      <c r="C87" s="100">
        <v>4.58</v>
      </c>
      <c r="D87" s="97">
        <f t="shared" si="1"/>
        <v>0</v>
      </c>
    </row>
    <row r="88" spans="1:4" ht="15">
      <c r="A88" s="99" t="s">
        <v>1233</v>
      </c>
      <c r="B88" s="3" cm="1">
        <f t="array" ref="B88">SUMPRODUCT((ISNUMBER(MATCH(ESTIMATE!$L$6:$L$205,A88,0)))*(ESTIMATE!$M$6:$M$205)*(ESTIMATE!$A$6:$A$205))</f>
        <v>0</v>
      </c>
      <c r="C88" s="100">
        <v>4.63</v>
      </c>
      <c r="D88" s="97">
        <f t="shared" si="1"/>
        <v>0</v>
      </c>
    </row>
    <row r="89" spans="1:4" ht="15">
      <c r="A89" s="99" t="s">
        <v>1234</v>
      </c>
      <c r="B89" s="3" cm="1">
        <f t="array" ref="B89">SUMPRODUCT((ISNUMBER(MATCH(ESTIMATE!$L$6:$L$205,A89,0)))*(ESTIMATE!$M$6:$M$205)*(ESTIMATE!$A$6:$A$205))</f>
        <v>0</v>
      </c>
      <c r="C89" s="100">
        <v>4.7300000000000004</v>
      </c>
      <c r="D89" s="97">
        <f t="shared" si="1"/>
        <v>0</v>
      </c>
    </row>
    <row r="90" spans="1:4" ht="15">
      <c r="A90" s="99" t="s">
        <v>1235</v>
      </c>
      <c r="B90" s="3" cm="1">
        <f t="array" ref="B90">SUMPRODUCT((ISNUMBER(MATCH(ESTIMATE!$L$6:$L$205,A90,0)))*(ESTIMATE!$M$6:$M$205)*(ESTIMATE!$A$6:$A$205))</f>
        <v>0</v>
      </c>
      <c r="C90" s="100">
        <v>4.8</v>
      </c>
      <c r="D90" s="97">
        <f t="shared" si="1"/>
        <v>0</v>
      </c>
    </row>
    <row r="91" spans="1:4" ht="15">
      <c r="A91" s="99" t="s">
        <v>1236</v>
      </c>
      <c r="B91" s="3" cm="1">
        <f t="array" ref="B91">SUMPRODUCT((ISNUMBER(MATCH(ESTIMATE!$L$6:$L$205,A91,0)))*(ESTIMATE!$M$6:$M$205)*(ESTIMATE!$A$6:$A$205))</f>
        <v>0</v>
      </c>
      <c r="C91" s="100">
        <v>4.88</v>
      </c>
      <c r="D91" s="97">
        <f t="shared" si="1"/>
        <v>0</v>
      </c>
    </row>
    <row r="92" spans="1:4" ht="15">
      <c r="A92" s="99" t="s">
        <v>1237</v>
      </c>
      <c r="B92" s="3" cm="1">
        <f t="array" ref="B92">SUMPRODUCT((ISNUMBER(MATCH(ESTIMATE!$L$6:$L$205,A92,0)))*(ESTIMATE!$M$6:$M$205)*(ESTIMATE!$A$6:$A$205))</f>
        <v>0</v>
      </c>
      <c r="C92" s="100">
        <v>4.93</v>
      </c>
      <c r="D92" s="97">
        <f t="shared" si="1"/>
        <v>0</v>
      </c>
    </row>
    <row r="93" spans="1:4" ht="15">
      <c r="A93" s="99" t="s">
        <v>1238</v>
      </c>
      <c r="B93" s="3" cm="1">
        <f t="array" ref="B93">SUMPRODUCT((ISNUMBER(MATCH(ESTIMATE!$L$6:$L$205,A93,0)))*(ESTIMATE!$M$6:$M$205)*(ESTIMATE!$A$6:$A$205))</f>
        <v>0</v>
      </c>
      <c r="C93" s="100">
        <v>5.03</v>
      </c>
      <c r="D93" s="97">
        <f t="shared" si="1"/>
        <v>0</v>
      </c>
    </row>
    <row r="94" spans="1:4" ht="15">
      <c r="A94" s="99" t="s">
        <v>1239</v>
      </c>
      <c r="B94" s="3" cm="1">
        <f t="array" ref="B94">SUMPRODUCT((ISNUMBER(MATCH(ESTIMATE!$L$6:$L$205,A94,0)))*(ESTIMATE!$M$6:$M$205)*(ESTIMATE!$A$6:$A$205))</f>
        <v>0</v>
      </c>
      <c r="C94" s="100">
        <v>5.0999999999999996</v>
      </c>
      <c r="D94" s="97">
        <f t="shared" si="1"/>
        <v>0</v>
      </c>
    </row>
    <row r="95" spans="1:4" ht="15">
      <c r="A95" s="99" t="s">
        <v>1240</v>
      </c>
      <c r="B95" s="3" cm="1">
        <f t="array" ref="B95">SUMPRODUCT((ISNUMBER(MATCH(ESTIMATE!$L$6:$L$205,A95,0)))*(ESTIMATE!$M$6:$M$205)*(ESTIMATE!$A$6:$A$205))</f>
        <v>0</v>
      </c>
      <c r="C95" s="100">
        <v>5.15</v>
      </c>
      <c r="D95" s="97">
        <f t="shared" si="1"/>
        <v>0</v>
      </c>
    </row>
    <row r="96" spans="1:4" ht="15">
      <c r="A96" s="99" t="s">
        <v>226</v>
      </c>
      <c r="B96" s="3" cm="1">
        <f t="array" ref="B96">SUMPRODUCT((ISNUMBER(MATCH(ESTIMATE!$L$6:$L$205,A96,0)))*(ESTIMATE!$M$6:$M$205)*(ESTIMATE!$A$6:$A$205))</f>
        <v>0</v>
      </c>
      <c r="C96" s="100">
        <v>5.27</v>
      </c>
      <c r="D96" s="97">
        <f t="shared" si="1"/>
        <v>0</v>
      </c>
    </row>
    <row r="97" spans="1:4" ht="15">
      <c r="A97" s="99" t="s">
        <v>227</v>
      </c>
      <c r="B97" s="3" cm="1">
        <f t="array" ref="B97">SUMPRODUCT((ISNUMBER(MATCH(ESTIMATE!$L$6:$L$205,A97,0)))*(ESTIMATE!$M$6:$M$205)*(ESTIMATE!$A$6:$A$205))</f>
        <v>0</v>
      </c>
      <c r="C97" s="100">
        <v>5.35</v>
      </c>
      <c r="D97" s="97">
        <f t="shared" si="1"/>
        <v>0</v>
      </c>
    </row>
    <row r="98" spans="1:4" ht="15">
      <c r="A98" s="99" t="s">
        <v>228</v>
      </c>
      <c r="B98" s="3" cm="1">
        <f t="array" ref="B98">SUMPRODUCT((ISNUMBER(MATCH(ESTIMATE!$L$6:$L$205,A98,0)))*(ESTIMATE!$M$6:$M$205)*(ESTIMATE!$A$6:$A$205))</f>
        <v>0</v>
      </c>
      <c r="C98" s="100">
        <v>5.47</v>
      </c>
      <c r="D98" s="97">
        <f t="shared" si="1"/>
        <v>0</v>
      </c>
    </row>
    <row r="99" spans="1:4" ht="15">
      <c r="A99" s="99" t="s">
        <v>229</v>
      </c>
      <c r="B99" s="3" cm="1">
        <f t="array" ref="B99">SUMPRODUCT((ISNUMBER(MATCH(ESTIMATE!$L$6:$L$205,A99,0)))*(ESTIMATE!$M$6:$M$205)*(ESTIMATE!$A$6:$A$205))</f>
        <v>0</v>
      </c>
      <c r="C99" s="100">
        <v>5.52</v>
      </c>
      <c r="D99" s="97">
        <f t="shared" si="1"/>
        <v>0</v>
      </c>
    </row>
    <row r="100" spans="1:4" ht="15">
      <c r="A100" s="99" t="s">
        <v>230</v>
      </c>
      <c r="B100" s="3" cm="1">
        <f t="array" ref="B100">SUMPRODUCT((ISNUMBER(MATCH(ESTIMATE!$L$6:$L$205,A100,0)))*(ESTIMATE!$M$6:$M$205)*(ESTIMATE!$A$6:$A$205))</f>
        <v>0</v>
      </c>
      <c r="C100" s="100">
        <v>5.63</v>
      </c>
      <c r="D100" s="97">
        <f t="shared" si="1"/>
        <v>0</v>
      </c>
    </row>
    <row r="101" spans="1:4" ht="15">
      <c r="A101" s="99" t="s">
        <v>231</v>
      </c>
      <c r="B101" s="3" cm="1">
        <f t="array" ref="B101">SUMPRODUCT((ISNUMBER(MATCH(ESTIMATE!$L$6:$L$205,A101,0)))*(ESTIMATE!$M$6:$M$205)*(ESTIMATE!$A$6:$A$205))</f>
        <v>0</v>
      </c>
      <c r="C101" s="100">
        <v>5.8</v>
      </c>
      <c r="D101" s="97">
        <f t="shared" si="1"/>
        <v>0</v>
      </c>
    </row>
    <row r="102" spans="1:4" ht="15">
      <c r="A102" s="99" t="s">
        <v>232</v>
      </c>
      <c r="B102" s="3" cm="1">
        <f t="array" ref="B102">SUMPRODUCT((ISNUMBER(MATCH(ESTIMATE!$L$6:$L$205,A102,0)))*(ESTIMATE!$M$6:$M$205)*(ESTIMATE!$A$6:$A$205))</f>
        <v>0</v>
      </c>
      <c r="C102" s="100">
        <v>5.88</v>
      </c>
      <c r="D102" s="97">
        <f t="shared" si="1"/>
        <v>0</v>
      </c>
    </row>
    <row r="103" spans="1:4" ht="15">
      <c r="A103" s="99" t="s">
        <v>233</v>
      </c>
      <c r="B103" s="3" cm="1">
        <f t="array" ref="B103">SUMPRODUCT((ISNUMBER(MATCH(ESTIMATE!$L$6:$L$205,A103,0)))*(ESTIMATE!$M$6:$M$205)*(ESTIMATE!$A$6:$A$205))</f>
        <v>0</v>
      </c>
      <c r="C103" s="100">
        <v>6</v>
      </c>
      <c r="D103" s="97">
        <f t="shared" si="1"/>
        <v>0</v>
      </c>
    </row>
    <row r="104" spans="1:4" ht="15">
      <c r="A104" s="99" t="s">
        <v>234</v>
      </c>
      <c r="B104" s="3" cm="1">
        <f t="array" ref="B104">SUMPRODUCT((ISNUMBER(MATCH(ESTIMATE!$L$6:$L$205,A104,0)))*(ESTIMATE!$M$6:$M$205)*(ESTIMATE!$A$6:$A$205))</f>
        <v>0</v>
      </c>
      <c r="C104" s="100">
        <v>6.1</v>
      </c>
      <c r="D104" s="97">
        <f t="shared" si="1"/>
        <v>0</v>
      </c>
    </row>
    <row r="105" spans="1:4" ht="15">
      <c r="A105" s="99" t="s">
        <v>235</v>
      </c>
      <c r="B105" s="3" cm="1">
        <f t="array" ref="B105">SUMPRODUCT((ISNUMBER(MATCH(ESTIMATE!$L$6:$L$205,A105,0)))*(ESTIMATE!$M$6:$M$205)*(ESTIMATE!$A$6:$A$205))</f>
        <v>0</v>
      </c>
      <c r="C105" s="100">
        <v>6.2</v>
      </c>
      <c r="D105" s="97">
        <f t="shared" si="1"/>
        <v>0</v>
      </c>
    </row>
    <row r="106" spans="1:4" ht="15">
      <c r="A106" s="99" t="s">
        <v>236</v>
      </c>
      <c r="B106" s="3" cm="1">
        <f t="array" ref="B106">SUMPRODUCT((ISNUMBER(MATCH(ESTIMATE!$L$6:$L$205,A106,0)))*(ESTIMATE!$M$6:$M$205)*(ESTIMATE!$A$6:$A$205))</f>
        <v>0</v>
      </c>
      <c r="C106" s="100">
        <v>6.35</v>
      </c>
      <c r="D106" s="97">
        <f t="shared" si="1"/>
        <v>0</v>
      </c>
    </row>
    <row r="107" spans="1:4" ht="15">
      <c r="A107" s="99" t="s">
        <v>237</v>
      </c>
      <c r="B107" s="3" cm="1">
        <f t="array" ref="B107">SUMPRODUCT((ISNUMBER(MATCH(ESTIMATE!$L$6:$L$205,A107,0)))*(ESTIMATE!$M$6:$M$205)*(ESTIMATE!$A$6:$A$205))</f>
        <v>0</v>
      </c>
      <c r="C107" s="100">
        <v>6.47</v>
      </c>
      <c r="D107" s="97">
        <f t="shared" si="1"/>
        <v>0</v>
      </c>
    </row>
    <row r="108" spans="1:4" ht="15">
      <c r="A108" s="99" t="s">
        <v>238</v>
      </c>
      <c r="B108" s="3" cm="1">
        <f t="array" ref="B108">SUMPRODUCT((ISNUMBER(MATCH(ESTIMATE!$L$6:$L$205,A108,0)))*(ESTIMATE!$M$6:$M$205)*(ESTIMATE!$A$6:$A$205))</f>
        <v>0</v>
      </c>
      <c r="C108" s="100">
        <v>6.52</v>
      </c>
      <c r="D108" s="97">
        <f t="shared" si="1"/>
        <v>0</v>
      </c>
    </row>
    <row r="109" spans="1:4" ht="15">
      <c r="A109" s="99" t="s">
        <v>239</v>
      </c>
      <c r="B109" s="3" cm="1">
        <f t="array" ref="B109">SUMPRODUCT((ISNUMBER(MATCH(ESTIMATE!$L$6:$L$205,A109,0)))*(ESTIMATE!$M$6:$M$205)*(ESTIMATE!$A$6:$A$205))</f>
        <v>0</v>
      </c>
      <c r="C109" s="100">
        <v>6.6</v>
      </c>
      <c r="D109" s="97">
        <f t="shared" si="1"/>
        <v>0</v>
      </c>
    </row>
    <row r="110" spans="1:4" ht="15">
      <c r="A110" s="99" t="s">
        <v>240</v>
      </c>
      <c r="B110" s="3" cm="1">
        <f t="array" ref="B110">SUMPRODUCT((ISNUMBER(MATCH(ESTIMATE!$L$6:$L$205,A110,0)))*(ESTIMATE!$M$6:$M$205)*(ESTIMATE!$A$6:$A$205))</f>
        <v>0</v>
      </c>
      <c r="C110" s="100">
        <v>6.63</v>
      </c>
      <c r="D110" s="97">
        <f t="shared" si="1"/>
        <v>0</v>
      </c>
    </row>
    <row r="111" spans="1:4" ht="15">
      <c r="A111" s="99" t="s">
        <v>241</v>
      </c>
      <c r="B111" s="3" cm="1">
        <f t="array" ref="B111">SUMPRODUCT((ISNUMBER(MATCH(ESTIMATE!$L$6:$L$205,A111,0)))*(ESTIMATE!$M$6:$M$205)*(ESTIMATE!$A$6:$A$205))</f>
        <v>0</v>
      </c>
      <c r="C111" s="100">
        <v>6.72</v>
      </c>
      <c r="D111" s="97">
        <f t="shared" si="1"/>
        <v>0</v>
      </c>
    </row>
    <row r="112" spans="1:4" ht="15">
      <c r="A112" s="99" t="s">
        <v>242</v>
      </c>
      <c r="B112" s="3" cm="1">
        <f t="array" ref="B112">SUMPRODUCT((ISNUMBER(MATCH(ESTIMATE!$L$6:$L$205,A112,0)))*(ESTIMATE!$M$6:$M$205)*(ESTIMATE!$A$6:$A$205))</f>
        <v>0</v>
      </c>
      <c r="C112" s="100">
        <v>6.78</v>
      </c>
      <c r="D112" s="97">
        <f t="shared" si="1"/>
        <v>0</v>
      </c>
    </row>
    <row r="113" spans="1:4" ht="15">
      <c r="A113" s="99" t="s">
        <v>243</v>
      </c>
      <c r="B113" s="3" cm="1">
        <f t="array" ref="B113">SUMPRODUCT((ISNUMBER(MATCH(ESTIMATE!$L$6:$L$205,A113,0)))*(ESTIMATE!$M$6:$M$205)*(ESTIMATE!$A$6:$A$205))</f>
        <v>0</v>
      </c>
      <c r="C113" s="100">
        <v>6.88</v>
      </c>
      <c r="D113" s="97">
        <f t="shared" si="1"/>
        <v>0</v>
      </c>
    </row>
    <row r="114" spans="1:4" ht="15">
      <c r="A114" s="99" t="s">
        <v>244</v>
      </c>
      <c r="B114" s="3" cm="1">
        <f t="array" ref="B114">SUMPRODUCT((ISNUMBER(MATCH(ESTIMATE!$L$6:$L$205,A114,0)))*(ESTIMATE!$M$6:$M$205)*(ESTIMATE!$A$6:$A$205))</f>
        <v>0</v>
      </c>
      <c r="C114" s="100">
        <v>6.93</v>
      </c>
      <c r="D114" s="97">
        <f t="shared" si="1"/>
        <v>0</v>
      </c>
    </row>
    <row r="115" spans="1:4" ht="15">
      <c r="A115" s="99" t="s">
        <v>245</v>
      </c>
      <c r="B115" s="3" cm="1">
        <f t="array" ref="B115">SUMPRODUCT((ISNUMBER(MATCH(ESTIMATE!$L$6:$L$205,A115,0)))*(ESTIMATE!$M$6:$M$205)*(ESTIMATE!$A$6:$A$205))</f>
        <v>0</v>
      </c>
      <c r="C115" s="100">
        <v>7</v>
      </c>
      <c r="D115" s="97">
        <f t="shared" si="1"/>
        <v>0</v>
      </c>
    </row>
    <row r="116" spans="1:4" ht="15">
      <c r="A116" s="99" t="s">
        <v>246</v>
      </c>
      <c r="B116" s="3" cm="1">
        <f t="array" ref="B116">SUMPRODUCT((ISNUMBER(MATCH(ESTIMATE!$L$6:$L$205,A116,0)))*(ESTIMATE!$M$6:$M$205)*(ESTIMATE!$A$6:$A$205))</f>
        <v>0</v>
      </c>
      <c r="C116" s="100">
        <v>7.07</v>
      </c>
      <c r="D116" s="97">
        <f t="shared" si="1"/>
        <v>0</v>
      </c>
    </row>
    <row r="117" spans="1:4" ht="15">
      <c r="A117" s="99" t="s">
        <v>247</v>
      </c>
      <c r="B117" s="3" cm="1">
        <f t="array" ref="B117">SUMPRODUCT((ISNUMBER(MATCH(ESTIMATE!$L$6:$L$205,A117,0)))*(ESTIMATE!$M$6:$M$205)*(ESTIMATE!$A$6:$A$205))</f>
        <v>0</v>
      </c>
      <c r="C117" s="100">
        <v>7.15</v>
      </c>
      <c r="D117" s="97">
        <f t="shared" si="1"/>
        <v>0</v>
      </c>
    </row>
    <row r="118" spans="1:4" ht="15">
      <c r="A118" s="99" t="s">
        <v>248</v>
      </c>
      <c r="B118" s="3" cm="1">
        <f t="array" ref="B118">SUMPRODUCT((ISNUMBER(MATCH(ESTIMATE!$L$6:$L$205,A118,0)))*(ESTIMATE!$M$6:$M$205)*(ESTIMATE!$A$6:$A$205))</f>
        <v>0</v>
      </c>
      <c r="C118" s="100">
        <v>7.25</v>
      </c>
      <c r="D118" s="97">
        <f t="shared" si="1"/>
        <v>0</v>
      </c>
    </row>
    <row r="119" spans="1:4" ht="15">
      <c r="A119" s="99" t="s">
        <v>249</v>
      </c>
      <c r="B119" s="3" cm="1">
        <f t="array" ref="B119">SUMPRODUCT((ISNUMBER(MATCH(ESTIMATE!$L$6:$L$205,A119,0)))*(ESTIMATE!$M$6:$M$205)*(ESTIMATE!$A$6:$A$205))</f>
        <v>0</v>
      </c>
      <c r="C119" s="100">
        <v>7.35</v>
      </c>
      <c r="D119" s="97">
        <f t="shared" si="1"/>
        <v>0</v>
      </c>
    </row>
    <row r="120" spans="1:4" ht="15">
      <c r="A120" s="99" t="s">
        <v>250</v>
      </c>
      <c r="B120" s="3" cm="1">
        <f t="array" ref="B120">SUMPRODUCT((ISNUMBER(MATCH(ESTIMATE!$L$6:$L$205,A120,0)))*(ESTIMATE!$M$6:$M$205)*(ESTIMATE!$A$6:$A$205))</f>
        <v>0</v>
      </c>
      <c r="C120" s="100">
        <v>7.42</v>
      </c>
      <c r="D120" s="97">
        <f t="shared" si="1"/>
        <v>0</v>
      </c>
    </row>
    <row r="121" spans="1:4" ht="15">
      <c r="A121" s="99" t="s">
        <v>251</v>
      </c>
      <c r="B121" s="3" cm="1">
        <f t="array" ref="B121">SUMPRODUCT((ISNUMBER(MATCH(ESTIMATE!$L$6:$L$205,A121,0)))*(ESTIMATE!$M$6:$M$205)*(ESTIMATE!$A$6:$A$205))</f>
        <v>0</v>
      </c>
      <c r="C121" s="100">
        <v>7.5</v>
      </c>
      <c r="D121" s="97">
        <f t="shared" si="1"/>
        <v>0</v>
      </c>
    </row>
    <row r="122" spans="1:4" ht="15">
      <c r="A122" s="99" t="s">
        <v>252</v>
      </c>
      <c r="B122" s="3" cm="1">
        <f t="array" ref="B122">SUMPRODUCT((ISNUMBER(MATCH(ESTIMATE!$L$6:$L$205,A122,0)))*(ESTIMATE!$M$6:$M$205)*(ESTIMATE!$A$6:$A$205))</f>
        <v>0</v>
      </c>
      <c r="C122" s="100">
        <v>7.6</v>
      </c>
      <c r="D122" s="97">
        <f t="shared" si="1"/>
        <v>0</v>
      </c>
    </row>
    <row r="123" spans="1:4" ht="15">
      <c r="A123" s="99" t="s">
        <v>253</v>
      </c>
      <c r="B123" s="3" cm="1">
        <f t="array" ref="B123">SUMPRODUCT((ISNUMBER(MATCH(ESTIMATE!$L$6:$L$205,A123,0)))*(ESTIMATE!$M$6:$M$205)*(ESTIMATE!$A$6:$A$205))</f>
        <v>0</v>
      </c>
      <c r="C123" s="100">
        <v>5.6</v>
      </c>
      <c r="D123" s="97">
        <f t="shared" si="1"/>
        <v>0</v>
      </c>
    </row>
    <row r="124" spans="1:4" ht="15">
      <c r="A124" s="99" t="s">
        <v>254</v>
      </c>
      <c r="B124" s="3" cm="1">
        <f t="array" ref="B124">SUMPRODUCT((ISNUMBER(MATCH(ESTIMATE!$L$6:$L$205,A124,0)))*(ESTIMATE!$M$6:$M$205)*(ESTIMATE!$A$6:$A$205))</f>
        <v>0</v>
      </c>
      <c r="C124" s="100">
        <v>5.6</v>
      </c>
      <c r="D124" s="97">
        <f t="shared" si="1"/>
        <v>0</v>
      </c>
    </row>
    <row r="125" spans="1:4" ht="15">
      <c r="A125" s="99" t="s">
        <v>255</v>
      </c>
      <c r="B125" s="3" cm="1">
        <f t="array" ref="B125">SUMPRODUCT((ISNUMBER(MATCH(ESTIMATE!$L$6:$L$205,A125,0)))*(ESTIMATE!$M$6:$M$205)*(ESTIMATE!$A$6:$A$205))</f>
        <v>0</v>
      </c>
      <c r="C125" s="100">
        <v>5.6</v>
      </c>
      <c r="D125" s="97">
        <f t="shared" si="1"/>
        <v>0</v>
      </c>
    </row>
    <row r="126" spans="1:4" ht="15">
      <c r="A126" s="99" t="s">
        <v>256</v>
      </c>
      <c r="B126" s="3" cm="1">
        <f t="array" ref="B126">SUMPRODUCT((ISNUMBER(MATCH(ESTIMATE!$L$6:$L$205,A126,0)))*(ESTIMATE!$M$6:$M$205)*(ESTIMATE!$A$6:$A$205))</f>
        <v>0</v>
      </c>
      <c r="C126" s="100">
        <v>5.75</v>
      </c>
      <c r="D126" s="97">
        <f t="shared" si="1"/>
        <v>0</v>
      </c>
    </row>
    <row r="127" spans="1:4" ht="15">
      <c r="A127" s="99" t="s">
        <v>257</v>
      </c>
      <c r="B127" s="3" cm="1">
        <f t="array" ref="B127">SUMPRODUCT((ISNUMBER(MATCH(ESTIMATE!$L$6:$L$205,A127,0)))*(ESTIMATE!$M$6:$M$205)*(ESTIMATE!$A$6:$A$205))</f>
        <v>0</v>
      </c>
      <c r="C127" s="100">
        <v>5.88</v>
      </c>
      <c r="D127" s="97">
        <f t="shared" si="1"/>
        <v>0</v>
      </c>
    </row>
    <row r="128" spans="1:4" ht="15">
      <c r="A128" s="99" t="s">
        <v>258</v>
      </c>
      <c r="B128" s="3" cm="1">
        <f t="array" ref="B128">SUMPRODUCT((ISNUMBER(MATCH(ESTIMATE!$L$6:$L$205,A128,0)))*(ESTIMATE!$M$6:$M$205)*(ESTIMATE!$A$6:$A$205))</f>
        <v>0</v>
      </c>
      <c r="C128" s="100">
        <v>6</v>
      </c>
      <c r="D128" s="97">
        <f t="shared" si="1"/>
        <v>0</v>
      </c>
    </row>
    <row r="129" spans="1:4" ht="15">
      <c r="A129" s="99" t="s">
        <v>259</v>
      </c>
      <c r="B129" s="3" cm="1">
        <f t="array" ref="B129">SUMPRODUCT((ISNUMBER(MATCH(ESTIMATE!$L$6:$L$205,A129,0)))*(ESTIMATE!$M$6:$M$205)*(ESTIMATE!$A$6:$A$205))</f>
        <v>0</v>
      </c>
      <c r="C129" s="100">
        <v>6.17</v>
      </c>
      <c r="D129" s="97">
        <f t="shared" si="1"/>
        <v>0</v>
      </c>
    </row>
    <row r="130" spans="1:4" ht="15">
      <c r="A130" s="99" t="s">
        <v>260</v>
      </c>
      <c r="B130" s="3" cm="1">
        <f t="array" ref="B130">SUMPRODUCT((ISNUMBER(MATCH(ESTIMATE!$L$6:$L$205,A130,0)))*(ESTIMATE!$M$6:$M$205)*(ESTIMATE!$A$6:$A$205))</f>
        <v>0</v>
      </c>
      <c r="C130" s="100">
        <v>6.28</v>
      </c>
      <c r="D130" s="97">
        <f t="shared" si="1"/>
        <v>0</v>
      </c>
    </row>
    <row r="131" spans="1:4" ht="15">
      <c r="A131" s="99" t="s">
        <v>261</v>
      </c>
      <c r="B131" s="3" cm="1">
        <f t="array" ref="B131">SUMPRODUCT((ISNUMBER(MATCH(ESTIMATE!$L$6:$L$205,A131,0)))*(ESTIMATE!$M$6:$M$205)*(ESTIMATE!$A$6:$A$205))</f>
        <v>0</v>
      </c>
      <c r="C131" s="100">
        <v>6.42</v>
      </c>
      <c r="D131" s="97">
        <f t="shared" ref="D131:D193" si="2">SUM(B131*C131)</f>
        <v>0</v>
      </c>
    </row>
    <row r="132" spans="1:4" ht="15">
      <c r="A132" s="99" t="s">
        <v>262</v>
      </c>
      <c r="B132" s="3" cm="1">
        <f t="array" ref="B132">SUMPRODUCT((ISNUMBER(MATCH(ESTIMATE!$L$6:$L$205,A132,0)))*(ESTIMATE!$M$6:$M$205)*(ESTIMATE!$A$6:$A$205))</f>
        <v>0</v>
      </c>
      <c r="C132" s="100">
        <v>6.58</v>
      </c>
      <c r="D132" s="97">
        <f t="shared" si="2"/>
        <v>0</v>
      </c>
    </row>
    <row r="133" spans="1:4" ht="15">
      <c r="A133" s="99" t="s">
        <v>263</v>
      </c>
      <c r="B133" s="3" cm="1">
        <f t="array" ref="B133">SUMPRODUCT((ISNUMBER(MATCH(ESTIMATE!$L$6:$L$205,A133,0)))*(ESTIMATE!$M$6:$M$205)*(ESTIMATE!$A$6:$A$205))</f>
        <v>0</v>
      </c>
      <c r="C133" s="100">
        <v>6.72</v>
      </c>
      <c r="D133" s="97">
        <f t="shared" si="2"/>
        <v>0</v>
      </c>
    </row>
    <row r="134" spans="1:4" ht="15">
      <c r="A134" s="99" t="s">
        <v>264</v>
      </c>
      <c r="B134" s="3" cm="1">
        <f t="array" ref="B134">SUMPRODUCT((ISNUMBER(MATCH(ESTIMATE!$L$6:$L$205,A134,0)))*(ESTIMATE!$M$6:$M$205)*(ESTIMATE!$A$6:$A$205))</f>
        <v>0</v>
      </c>
      <c r="C134" s="100">
        <v>6.88</v>
      </c>
      <c r="D134" s="97">
        <f t="shared" si="2"/>
        <v>0</v>
      </c>
    </row>
    <row r="135" spans="1:4" ht="15">
      <c r="A135" s="99" t="s">
        <v>265</v>
      </c>
      <c r="B135" s="3" cm="1">
        <f t="array" ref="B135">SUMPRODUCT((ISNUMBER(MATCH(ESTIMATE!$L$6:$L$205,A135,0)))*(ESTIMATE!$M$6:$M$205)*(ESTIMATE!$A$6:$A$205))</f>
        <v>0</v>
      </c>
      <c r="C135" s="100">
        <v>6.97</v>
      </c>
      <c r="D135" s="97">
        <f t="shared" si="2"/>
        <v>0</v>
      </c>
    </row>
    <row r="136" spans="1:4" ht="15">
      <c r="A136" s="99" t="s">
        <v>266</v>
      </c>
      <c r="B136" s="3" cm="1">
        <f t="array" ref="B136">SUMPRODUCT((ISNUMBER(MATCH(ESTIMATE!$L$6:$L$205,A136,0)))*(ESTIMATE!$M$6:$M$205)*(ESTIMATE!$A$6:$A$205))</f>
        <v>0</v>
      </c>
      <c r="C136" s="100">
        <v>7.12</v>
      </c>
      <c r="D136" s="97">
        <f t="shared" si="2"/>
        <v>0</v>
      </c>
    </row>
    <row r="137" spans="1:4" ht="15">
      <c r="A137" s="99" t="s">
        <v>267</v>
      </c>
      <c r="B137" s="3" cm="1">
        <f t="array" ref="B137">SUMPRODUCT((ISNUMBER(MATCH(ESTIMATE!$L$6:$L$205,A137,0)))*(ESTIMATE!$M$6:$M$205)*(ESTIMATE!$A$6:$A$205))</f>
        <v>0</v>
      </c>
      <c r="C137" s="100">
        <v>7.23</v>
      </c>
      <c r="D137" s="97">
        <f t="shared" si="2"/>
        <v>0</v>
      </c>
    </row>
    <row r="138" spans="1:4" ht="15">
      <c r="A138" s="99" t="s">
        <v>268</v>
      </c>
      <c r="B138" s="3" cm="1">
        <f t="array" ref="B138">SUMPRODUCT((ISNUMBER(MATCH(ESTIMATE!$L$6:$L$205,A138,0)))*(ESTIMATE!$M$6:$M$205)*(ESTIMATE!$A$6:$A$205))</f>
        <v>0</v>
      </c>
      <c r="C138" s="100">
        <v>7.37</v>
      </c>
      <c r="D138" s="97">
        <f t="shared" si="2"/>
        <v>0</v>
      </c>
    </row>
    <row r="139" spans="1:4" ht="15">
      <c r="A139" s="99" t="s">
        <v>269</v>
      </c>
      <c r="B139" s="3" cm="1">
        <f t="array" ref="B139">SUMPRODUCT((ISNUMBER(MATCH(ESTIMATE!$L$6:$L$205,A139,0)))*(ESTIMATE!$M$6:$M$205)*(ESTIMATE!$A$6:$A$205))</f>
        <v>0</v>
      </c>
      <c r="C139" s="100">
        <v>7.6</v>
      </c>
      <c r="D139" s="97">
        <f t="shared" si="2"/>
        <v>0</v>
      </c>
    </row>
    <row r="140" spans="1:4" ht="15">
      <c r="A140" s="99" t="s">
        <v>270</v>
      </c>
      <c r="B140" s="3" cm="1">
        <f t="array" ref="B140">SUMPRODUCT((ISNUMBER(MATCH(ESTIMATE!$L$6:$L$205,A140,0)))*(ESTIMATE!$M$6:$M$205)*(ESTIMATE!$A$6:$A$205))</f>
        <v>0</v>
      </c>
      <c r="C140" s="100">
        <v>7.88</v>
      </c>
      <c r="D140" s="97">
        <f t="shared" si="2"/>
        <v>0</v>
      </c>
    </row>
    <row r="141" spans="1:4" ht="15">
      <c r="A141" s="99" t="s">
        <v>271</v>
      </c>
      <c r="B141" s="3" cm="1">
        <f t="array" ref="B141">SUMPRODUCT((ISNUMBER(MATCH(ESTIMATE!$L$6:$L$205,A141,0)))*(ESTIMATE!$M$6:$M$205)*(ESTIMATE!$A$6:$A$205))</f>
        <v>0</v>
      </c>
      <c r="C141" s="100">
        <v>8.1199999999999992</v>
      </c>
      <c r="D141" s="97">
        <f t="shared" si="2"/>
        <v>0</v>
      </c>
    </row>
    <row r="142" spans="1:4" ht="15">
      <c r="A142" s="99" t="s">
        <v>272</v>
      </c>
      <c r="B142" s="3" cm="1">
        <f t="array" ref="B142">SUMPRODUCT((ISNUMBER(MATCH(ESTIMATE!$L$6:$L$205,A142,0)))*(ESTIMATE!$M$6:$M$205)*(ESTIMATE!$A$6:$A$205))</f>
        <v>0</v>
      </c>
      <c r="C142" s="100">
        <v>8.3000000000000007</v>
      </c>
      <c r="D142" s="97">
        <f t="shared" si="2"/>
        <v>0</v>
      </c>
    </row>
    <row r="143" spans="1:4" ht="15">
      <c r="A143" s="99" t="s">
        <v>273</v>
      </c>
      <c r="B143" s="3" cm="1">
        <f t="array" ref="B143">SUMPRODUCT((ISNUMBER(MATCH(ESTIMATE!$L$6:$L$205,A143,0)))*(ESTIMATE!$M$6:$M$205)*(ESTIMATE!$A$6:$A$205))</f>
        <v>0</v>
      </c>
      <c r="C143" s="100">
        <v>8.48</v>
      </c>
      <c r="D143" s="97">
        <f t="shared" si="2"/>
        <v>0</v>
      </c>
    </row>
    <row r="144" spans="1:4" ht="15">
      <c r="A144" s="99" t="s">
        <v>274</v>
      </c>
      <c r="B144" s="3" cm="1">
        <f t="array" ref="B144">SUMPRODUCT((ISNUMBER(MATCH(ESTIMATE!$L$6:$L$205,A144,0)))*(ESTIMATE!$M$6:$M$205)*(ESTIMATE!$A$6:$A$205))</f>
        <v>0</v>
      </c>
      <c r="C144" s="100">
        <v>8.67</v>
      </c>
      <c r="D144" s="97">
        <f t="shared" si="2"/>
        <v>0</v>
      </c>
    </row>
    <row r="145" spans="1:4" ht="15">
      <c r="A145" s="99" t="s">
        <v>275</v>
      </c>
      <c r="B145" s="3" cm="1">
        <f t="array" ref="B145">SUMPRODUCT((ISNUMBER(MATCH(ESTIMATE!$L$6:$L$205,A145,0)))*(ESTIMATE!$M$6:$M$205)*(ESTIMATE!$A$6:$A$205))</f>
        <v>0</v>
      </c>
      <c r="C145" s="100">
        <v>8.85</v>
      </c>
      <c r="D145" s="97">
        <f t="shared" si="2"/>
        <v>0</v>
      </c>
    </row>
    <row r="146" spans="1:4" ht="15">
      <c r="A146" s="99" t="s">
        <v>276</v>
      </c>
      <c r="B146" s="3" cm="1">
        <f t="array" ref="B146">SUMPRODUCT((ISNUMBER(MATCH(ESTIMATE!$L$6:$L$205,A146,0)))*(ESTIMATE!$M$6:$M$205)*(ESTIMATE!$A$6:$A$205))</f>
        <v>0</v>
      </c>
      <c r="C146" s="100">
        <v>9.0299999999999994</v>
      </c>
      <c r="D146" s="97">
        <f t="shared" si="2"/>
        <v>0</v>
      </c>
    </row>
    <row r="147" spans="1:4" ht="15">
      <c r="A147" s="99" t="s">
        <v>277</v>
      </c>
      <c r="B147" s="3" cm="1">
        <f t="array" ref="B147">SUMPRODUCT((ISNUMBER(MATCH(ESTIMATE!$L$6:$L$205,A147,0)))*(ESTIMATE!$M$6:$M$205)*(ESTIMATE!$A$6:$A$205))</f>
        <v>0</v>
      </c>
      <c r="C147" s="100">
        <v>9.1999999999999993</v>
      </c>
      <c r="D147" s="97">
        <f t="shared" si="2"/>
        <v>0</v>
      </c>
    </row>
    <row r="148" spans="1:4" ht="15">
      <c r="A148" s="99" t="s">
        <v>278</v>
      </c>
      <c r="B148" s="3" cm="1">
        <f t="array" ref="B148">SUMPRODUCT((ISNUMBER(MATCH(ESTIMATE!$L$6:$L$205,A148,0)))*(ESTIMATE!$M$6:$M$205)*(ESTIMATE!$A$6:$A$205))</f>
        <v>0</v>
      </c>
      <c r="C148" s="100">
        <v>9.43</v>
      </c>
      <c r="D148" s="97">
        <f t="shared" si="2"/>
        <v>0</v>
      </c>
    </row>
    <row r="149" spans="1:4" ht="15">
      <c r="A149" s="99" t="s">
        <v>279</v>
      </c>
      <c r="B149" s="3" cm="1">
        <f t="array" ref="B149">SUMPRODUCT((ISNUMBER(MATCH(ESTIMATE!$L$6:$L$205,A149,0)))*(ESTIMATE!$M$6:$M$205)*(ESTIMATE!$A$6:$A$205))</f>
        <v>0</v>
      </c>
      <c r="C149" s="100">
        <v>9.6</v>
      </c>
      <c r="D149" s="97">
        <f t="shared" si="2"/>
        <v>0</v>
      </c>
    </row>
    <row r="150" spans="1:4" ht="15">
      <c r="A150" s="99" t="s">
        <v>280</v>
      </c>
      <c r="B150" s="3" cm="1">
        <f t="array" ref="B150">SUMPRODUCT((ISNUMBER(MATCH(ESTIMATE!$L$6:$L$205,A150,0)))*(ESTIMATE!$M$6:$M$205)*(ESTIMATE!$A$6:$A$205))</f>
        <v>0</v>
      </c>
      <c r="C150" s="100">
        <v>9.73</v>
      </c>
      <c r="D150" s="97">
        <f t="shared" si="2"/>
        <v>0</v>
      </c>
    </row>
    <row r="151" spans="1:4" ht="15">
      <c r="A151" s="99" t="s">
        <v>281</v>
      </c>
      <c r="B151" s="3" cm="1">
        <f t="array" ref="B151">SUMPRODUCT((ISNUMBER(MATCH(ESTIMATE!$L$6:$L$205,A151,0)))*(ESTIMATE!$M$6:$M$205)*(ESTIMATE!$A$6:$A$205))</f>
        <v>0</v>
      </c>
      <c r="C151" s="100">
        <v>9.8800000000000008</v>
      </c>
      <c r="D151" s="97">
        <f t="shared" si="2"/>
        <v>0</v>
      </c>
    </row>
    <row r="152" spans="1:4" ht="15">
      <c r="A152" s="99" t="s">
        <v>282</v>
      </c>
      <c r="B152" s="3" cm="1">
        <f t="array" ref="B152">SUMPRODUCT((ISNUMBER(MATCH(ESTIMATE!$L$6:$L$205,A152,0)))*(ESTIMATE!$M$6:$M$205)*(ESTIMATE!$A$6:$A$205))</f>
        <v>0</v>
      </c>
      <c r="C152" s="100">
        <v>10.029999999999999</v>
      </c>
      <c r="D152" s="97">
        <f t="shared" si="2"/>
        <v>0</v>
      </c>
    </row>
    <row r="153" spans="1:4" ht="15">
      <c r="A153" s="99" t="s">
        <v>283</v>
      </c>
      <c r="B153" s="3" cm="1">
        <f t="array" ref="B153">SUMPRODUCT((ISNUMBER(MATCH(ESTIMATE!$L$6:$L$205,A153,0)))*(ESTIMATE!$M$6:$M$205)*(ESTIMATE!$A$6:$A$205))</f>
        <v>0</v>
      </c>
      <c r="C153" s="100">
        <v>10.18</v>
      </c>
      <c r="D153" s="97">
        <f t="shared" si="2"/>
        <v>0</v>
      </c>
    </row>
    <row r="154" spans="1:4" ht="15">
      <c r="A154" s="99" t="s">
        <v>284</v>
      </c>
      <c r="B154" s="3" cm="1">
        <f t="array" ref="B154">SUMPRODUCT((ISNUMBER(MATCH(ESTIMATE!$L$6:$L$205,A154,0)))*(ESTIMATE!$M$6:$M$205)*(ESTIMATE!$A$6:$A$205))</f>
        <v>0</v>
      </c>
      <c r="C154" s="100">
        <v>10.33</v>
      </c>
      <c r="D154" s="97">
        <f t="shared" si="2"/>
        <v>0</v>
      </c>
    </row>
    <row r="155" spans="1:4" ht="15">
      <c r="A155" s="99" t="s">
        <v>285</v>
      </c>
      <c r="B155" s="3" cm="1">
        <f t="array" ref="B155">SUMPRODUCT((ISNUMBER(MATCH(ESTIMATE!$L$6:$L$205,A155,0)))*(ESTIMATE!$M$6:$M$205)*(ESTIMATE!$A$6:$A$205))</f>
        <v>0</v>
      </c>
      <c r="C155" s="100">
        <v>10.45</v>
      </c>
      <c r="D155" s="97">
        <f t="shared" si="2"/>
        <v>0</v>
      </c>
    </row>
    <row r="156" spans="1:4" ht="15">
      <c r="A156" s="99" t="s">
        <v>286</v>
      </c>
      <c r="B156" s="3" cm="1">
        <f t="array" ref="B156">SUMPRODUCT((ISNUMBER(MATCH(ESTIMATE!$L$6:$L$205,A156,0)))*(ESTIMATE!$M$6:$M$205)*(ESTIMATE!$A$6:$A$205))</f>
        <v>0</v>
      </c>
      <c r="C156" s="100">
        <v>10.5</v>
      </c>
      <c r="D156" s="97">
        <f t="shared" si="2"/>
        <v>0</v>
      </c>
    </row>
    <row r="157" spans="1:4" ht="15">
      <c r="A157" s="99" t="s">
        <v>287</v>
      </c>
      <c r="B157" s="3" cm="1">
        <f t="array" ref="B157">SUMPRODUCT((ISNUMBER(MATCH(ESTIMATE!$L$6:$L$205,A157,0)))*(ESTIMATE!$M$6:$M$205)*(ESTIMATE!$A$6:$A$205))</f>
        <v>0</v>
      </c>
      <c r="C157" s="100">
        <v>10.62</v>
      </c>
      <c r="D157" s="97">
        <f t="shared" si="2"/>
        <v>0</v>
      </c>
    </row>
    <row r="158" spans="1:4" ht="15">
      <c r="A158" s="99" t="s">
        <v>288</v>
      </c>
      <c r="B158" s="3" cm="1">
        <f t="array" ref="B158">SUMPRODUCT((ISNUMBER(MATCH(ESTIMATE!$L$6:$L$205,A158,0)))*(ESTIMATE!$M$6:$M$205)*(ESTIMATE!$A$6:$A$205))</f>
        <v>0</v>
      </c>
      <c r="C158" s="100">
        <v>10.7</v>
      </c>
      <c r="D158" s="97">
        <f t="shared" si="2"/>
        <v>0</v>
      </c>
    </row>
    <row r="159" spans="1:4" ht="15">
      <c r="A159" s="99" t="s">
        <v>289</v>
      </c>
      <c r="B159" s="3" cm="1">
        <f t="array" ref="B159">SUMPRODUCT((ISNUMBER(MATCH(ESTIMATE!$L$6:$L$205,A159,0)))*(ESTIMATE!$M$6:$M$205)*(ESTIMATE!$A$6:$A$205))</f>
        <v>0</v>
      </c>
      <c r="C159" s="100">
        <v>10.78</v>
      </c>
      <c r="D159" s="97">
        <f t="shared" si="2"/>
        <v>0</v>
      </c>
    </row>
    <row r="160" spans="1:4" ht="15">
      <c r="A160" s="99" t="s">
        <v>290</v>
      </c>
      <c r="B160" s="3" cm="1">
        <f t="array" ref="B160">SUMPRODUCT((ISNUMBER(MATCH(ESTIMATE!$L$6:$L$205,A160,0)))*(ESTIMATE!$M$6:$M$205)*(ESTIMATE!$A$6:$A$205))</f>
        <v>0</v>
      </c>
      <c r="C160" s="100">
        <v>10.85</v>
      </c>
      <c r="D160" s="97">
        <f t="shared" si="2"/>
        <v>0</v>
      </c>
    </row>
    <row r="161" spans="1:4" ht="15">
      <c r="A161" s="99" t="s">
        <v>364</v>
      </c>
      <c r="B161" s="3" cm="1">
        <f t="array" ref="B161">SUMPRODUCT((ISNUMBER(MATCH(ESTIMATE!$L$6:$L$205,A161,0)))*(ESTIMATE!$M$6:$M$205)*(ESTIMATE!$A$6:$A$205))</f>
        <v>0</v>
      </c>
      <c r="C161" s="100">
        <v>4.3499999999999996</v>
      </c>
      <c r="D161" s="97">
        <f t="shared" si="2"/>
        <v>0</v>
      </c>
    </row>
    <row r="162" spans="1:4" ht="15">
      <c r="A162" s="99" t="s">
        <v>365</v>
      </c>
      <c r="B162" s="3" cm="1">
        <f t="array" ref="B162">SUMPRODUCT((ISNUMBER(MATCH(ESTIMATE!$L$6:$L$205,A162,0)))*(ESTIMATE!$M$6:$M$205)*(ESTIMATE!$A$6:$A$205))</f>
        <v>0</v>
      </c>
      <c r="C162" s="100">
        <v>4.55</v>
      </c>
      <c r="D162" s="97">
        <f t="shared" si="2"/>
        <v>0</v>
      </c>
    </row>
    <row r="163" spans="1:4" ht="15">
      <c r="A163" s="99" t="s">
        <v>366</v>
      </c>
      <c r="B163" s="3" cm="1">
        <f t="array" ref="B163">SUMPRODUCT((ISNUMBER(MATCH(ESTIMATE!$L$6:$L$205,A163,0)))*(ESTIMATE!$M$6:$M$205)*(ESTIMATE!$A$6:$A$205))</f>
        <v>0</v>
      </c>
      <c r="C163" s="100">
        <v>4.75</v>
      </c>
      <c r="D163" s="97">
        <f t="shared" si="2"/>
        <v>0</v>
      </c>
    </row>
    <row r="164" spans="1:4" ht="15">
      <c r="A164" s="99" t="s">
        <v>367</v>
      </c>
      <c r="B164" s="3" cm="1">
        <f t="array" ref="B164">SUMPRODUCT((ISNUMBER(MATCH(ESTIMATE!$L$6:$L$205,A164,0)))*(ESTIMATE!$M$6:$M$205)*(ESTIMATE!$A$6:$A$205))</f>
        <v>0</v>
      </c>
      <c r="C164" s="100">
        <v>4.93</v>
      </c>
      <c r="D164" s="97">
        <f t="shared" si="2"/>
        <v>0</v>
      </c>
    </row>
    <row r="165" spans="1:4" ht="15">
      <c r="A165" s="99" t="s">
        <v>368</v>
      </c>
      <c r="B165" s="3" cm="1">
        <f t="array" ref="B165">SUMPRODUCT((ISNUMBER(MATCH(ESTIMATE!$L$6:$L$205,A165,0)))*(ESTIMATE!$M$6:$M$205)*(ESTIMATE!$A$6:$A$205))</f>
        <v>0</v>
      </c>
      <c r="C165" s="100">
        <v>5.13</v>
      </c>
      <c r="D165" s="97">
        <f t="shared" si="2"/>
        <v>0</v>
      </c>
    </row>
    <row r="166" spans="1:4" ht="15">
      <c r="A166" s="99" t="s">
        <v>369</v>
      </c>
      <c r="B166" s="3" cm="1">
        <f t="array" ref="B166">SUMPRODUCT((ISNUMBER(MATCH(ESTIMATE!$L$6:$L$205,A166,0)))*(ESTIMATE!$M$6:$M$205)*(ESTIMATE!$A$6:$A$205))</f>
        <v>0</v>
      </c>
      <c r="C166" s="100">
        <v>5.22</v>
      </c>
      <c r="D166" s="97">
        <f t="shared" si="2"/>
        <v>0</v>
      </c>
    </row>
    <row r="167" spans="1:4" ht="15">
      <c r="A167" s="99" t="s">
        <v>370</v>
      </c>
      <c r="B167" s="3" cm="1">
        <f t="array" ref="B167">SUMPRODUCT((ISNUMBER(MATCH(ESTIMATE!$L$6:$L$205,A167,0)))*(ESTIMATE!$M$6:$M$205)*(ESTIMATE!$A$6:$A$205))</f>
        <v>0</v>
      </c>
      <c r="C167" s="100">
        <v>5.3</v>
      </c>
      <c r="D167" s="97">
        <f t="shared" si="2"/>
        <v>0</v>
      </c>
    </row>
    <row r="168" spans="1:4" ht="15">
      <c r="A168" s="99" t="s">
        <v>371</v>
      </c>
      <c r="B168" s="3" cm="1">
        <f t="array" ref="B168">SUMPRODUCT((ISNUMBER(MATCH(ESTIMATE!$L$6:$L$205,A168,0)))*(ESTIMATE!$M$6:$M$205)*(ESTIMATE!$A$6:$A$205))</f>
        <v>0</v>
      </c>
      <c r="C168" s="100">
        <v>5.38</v>
      </c>
      <c r="D168" s="97">
        <f t="shared" si="2"/>
        <v>0</v>
      </c>
    </row>
    <row r="169" spans="1:4" ht="15">
      <c r="A169" s="99" t="s">
        <v>372</v>
      </c>
      <c r="B169" s="3" cm="1">
        <f t="array" ref="B169">SUMPRODUCT((ISNUMBER(MATCH(ESTIMATE!$L$6:$L$205,A169,0)))*(ESTIMATE!$M$6:$M$205)*(ESTIMATE!$A$6:$A$205))</f>
        <v>0</v>
      </c>
      <c r="C169" s="100">
        <v>5.47</v>
      </c>
      <c r="D169" s="97">
        <f t="shared" si="2"/>
        <v>0</v>
      </c>
    </row>
    <row r="170" spans="1:4" ht="15">
      <c r="A170" s="99" t="s">
        <v>373</v>
      </c>
      <c r="B170" s="3" cm="1">
        <f t="array" ref="B170">SUMPRODUCT((ISNUMBER(MATCH(ESTIMATE!$L$6:$L$205,A170,0)))*(ESTIMATE!$M$6:$M$205)*(ESTIMATE!$A$6:$A$205))</f>
        <v>0</v>
      </c>
      <c r="C170" s="100">
        <v>5.53</v>
      </c>
      <c r="D170" s="97">
        <f t="shared" si="2"/>
        <v>0</v>
      </c>
    </row>
    <row r="171" spans="1:4" ht="15">
      <c r="A171" s="99" t="s">
        <v>374</v>
      </c>
      <c r="B171" s="3" cm="1">
        <f t="array" ref="B171">SUMPRODUCT((ISNUMBER(MATCH(ESTIMATE!$L$6:$L$205,A171,0)))*(ESTIMATE!$M$6:$M$205)*(ESTIMATE!$A$6:$A$205))</f>
        <v>0</v>
      </c>
      <c r="C171" s="100">
        <v>5.63</v>
      </c>
      <c r="D171" s="97">
        <f t="shared" si="2"/>
        <v>0</v>
      </c>
    </row>
    <row r="172" spans="1:4" ht="15">
      <c r="A172" s="99" t="s">
        <v>375</v>
      </c>
      <c r="B172" s="3" cm="1">
        <f t="array" ref="B172">SUMPRODUCT((ISNUMBER(MATCH(ESTIMATE!$L$6:$L$205,A172,0)))*(ESTIMATE!$M$6:$M$205)*(ESTIMATE!$A$6:$A$205))</f>
        <v>0</v>
      </c>
      <c r="C172" s="100">
        <v>5.72</v>
      </c>
      <c r="D172" s="97">
        <f t="shared" si="2"/>
        <v>0</v>
      </c>
    </row>
    <row r="173" spans="1:4" ht="15">
      <c r="A173" s="99" t="s">
        <v>376</v>
      </c>
      <c r="B173" s="3" cm="1">
        <f t="array" ref="B173">SUMPRODUCT((ISNUMBER(MATCH(ESTIMATE!$L$6:$L$205,A173,0)))*(ESTIMATE!$M$6:$M$205)*(ESTIMATE!$A$6:$A$205))</f>
        <v>0</v>
      </c>
      <c r="C173" s="100">
        <v>5.85</v>
      </c>
      <c r="D173" s="97">
        <f t="shared" si="2"/>
        <v>0</v>
      </c>
    </row>
    <row r="174" spans="1:4" ht="15">
      <c r="A174" s="99" t="s">
        <v>377</v>
      </c>
      <c r="B174" s="3" cm="1">
        <f t="array" ref="B174">SUMPRODUCT((ISNUMBER(MATCH(ESTIMATE!$L$6:$L$205,A174,0)))*(ESTIMATE!$M$6:$M$205)*(ESTIMATE!$A$6:$A$205))</f>
        <v>0</v>
      </c>
      <c r="C174" s="100">
        <v>5.9</v>
      </c>
      <c r="D174" s="97">
        <f t="shared" si="2"/>
        <v>0</v>
      </c>
    </row>
    <row r="175" spans="1:4" ht="15">
      <c r="A175" s="99" t="s">
        <v>378</v>
      </c>
      <c r="B175" s="3" cm="1">
        <f t="array" ref="B175">SUMPRODUCT((ISNUMBER(MATCH(ESTIMATE!$L$6:$L$205,A175,0)))*(ESTIMATE!$M$6:$M$205)*(ESTIMATE!$A$6:$A$205))</f>
        <v>0</v>
      </c>
      <c r="C175" s="100">
        <v>6.03</v>
      </c>
      <c r="D175" s="97">
        <f t="shared" si="2"/>
        <v>0</v>
      </c>
    </row>
    <row r="176" spans="1:4" ht="15">
      <c r="A176" s="99" t="s">
        <v>379</v>
      </c>
      <c r="B176" s="3" cm="1">
        <f t="array" ref="B176">SUMPRODUCT((ISNUMBER(MATCH(ESTIMATE!$L$6:$L$205,A176,0)))*(ESTIMATE!$M$6:$M$205)*(ESTIMATE!$A$6:$A$205))</f>
        <v>0</v>
      </c>
      <c r="C176" s="100">
        <v>6.12</v>
      </c>
      <c r="D176" s="97">
        <f t="shared" si="2"/>
        <v>0</v>
      </c>
    </row>
    <row r="177" spans="1:4" ht="15">
      <c r="A177" s="99" t="s">
        <v>380</v>
      </c>
      <c r="B177" s="3" cm="1">
        <f t="array" ref="B177">SUMPRODUCT((ISNUMBER(MATCH(ESTIMATE!$L$6:$L$205,A177,0)))*(ESTIMATE!$M$6:$M$205)*(ESTIMATE!$A$6:$A$205))</f>
        <v>0</v>
      </c>
      <c r="C177" s="100">
        <v>6.23</v>
      </c>
      <c r="D177" s="97">
        <f t="shared" si="2"/>
        <v>0</v>
      </c>
    </row>
    <row r="178" spans="1:4" ht="15">
      <c r="A178" s="99" t="s">
        <v>381</v>
      </c>
      <c r="B178" s="3" cm="1">
        <f t="array" ref="B178">SUMPRODUCT((ISNUMBER(MATCH(ESTIMATE!$L$6:$L$205,A178,0)))*(ESTIMATE!$M$6:$M$205)*(ESTIMATE!$A$6:$A$205))</f>
        <v>0</v>
      </c>
      <c r="C178" s="100">
        <v>6.4</v>
      </c>
      <c r="D178" s="97">
        <f t="shared" si="2"/>
        <v>0</v>
      </c>
    </row>
    <row r="179" spans="1:4" ht="15">
      <c r="A179" s="99" t="s">
        <v>382</v>
      </c>
      <c r="B179" s="3" cm="1">
        <f t="array" ref="B179">SUMPRODUCT((ISNUMBER(MATCH(ESTIMATE!$L$6:$L$205,A179,0)))*(ESTIMATE!$M$6:$M$205)*(ESTIMATE!$A$6:$A$205))</f>
        <v>0</v>
      </c>
      <c r="C179" s="100">
        <v>6.52</v>
      </c>
      <c r="D179" s="97">
        <f t="shared" si="2"/>
        <v>0</v>
      </c>
    </row>
    <row r="180" spans="1:4" ht="15">
      <c r="A180" s="99" t="s">
        <v>1241</v>
      </c>
      <c r="B180" s="3" cm="1">
        <f t="array" ref="B180">SUMPRODUCT((ISNUMBER(MATCH(ESTIMATE!$L$6:$L$205,A180,0)))*(ESTIMATE!$M$6:$M$205)*(ESTIMATE!$A$6:$A$205))</f>
        <v>0</v>
      </c>
      <c r="C180" s="100">
        <v>6.65</v>
      </c>
      <c r="D180" s="97">
        <f t="shared" si="2"/>
        <v>0</v>
      </c>
    </row>
    <row r="181" spans="1:4" ht="15">
      <c r="A181" s="99" t="s">
        <v>383</v>
      </c>
      <c r="B181" s="3" cm="1">
        <f t="array" ref="B181">SUMPRODUCT((ISNUMBER(MATCH(ESTIMATE!$L$6:$L$205,A181,0)))*(ESTIMATE!$M$6:$M$205)*(ESTIMATE!$A$6:$A$205))</f>
        <v>0</v>
      </c>
      <c r="C181" s="100">
        <v>6.73</v>
      </c>
      <c r="D181" s="97">
        <f t="shared" si="2"/>
        <v>0</v>
      </c>
    </row>
    <row r="182" spans="1:4" ht="15">
      <c r="A182" s="99" t="s">
        <v>384</v>
      </c>
      <c r="B182" s="3" cm="1">
        <f t="array" ref="B182">SUMPRODUCT((ISNUMBER(MATCH(ESTIMATE!$L$6:$L$205,A182,0)))*(ESTIMATE!$M$6:$M$205)*(ESTIMATE!$A$6:$A$205))</f>
        <v>0</v>
      </c>
      <c r="C182" s="100">
        <v>6.87</v>
      </c>
      <c r="D182" s="97">
        <f t="shared" si="2"/>
        <v>0</v>
      </c>
    </row>
    <row r="183" spans="1:4" ht="15">
      <c r="A183" s="99" t="s">
        <v>385</v>
      </c>
      <c r="B183" s="3" cm="1">
        <f t="array" ref="B183">SUMPRODUCT((ISNUMBER(MATCH(ESTIMATE!$L$6:$L$205,A183,0)))*(ESTIMATE!$M$6:$M$205)*(ESTIMATE!$A$6:$A$205))</f>
        <v>0</v>
      </c>
      <c r="C183" s="100">
        <v>7.02</v>
      </c>
      <c r="D183" s="97">
        <f t="shared" si="2"/>
        <v>0</v>
      </c>
    </row>
    <row r="184" spans="1:4" ht="15">
      <c r="A184" s="99" t="s">
        <v>386</v>
      </c>
      <c r="B184" s="3" cm="1">
        <f t="array" ref="B184">SUMPRODUCT((ISNUMBER(MATCH(ESTIMATE!$L$6:$L$205,A184,0)))*(ESTIMATE!$M$6:$M$205)*(ESTIMATE!$A$6:$A$205))</f>
        <v>0</v>
      </c>
      <c r="C184" s="100">
        <v>7.13</v>
      </c>
      <c r="D184" s="97">
        <f t="shared" si="2"/>
        <v>0</v>
      </c>
    </row>
    <row r="185" spans="1:4" ht="15">
      <c r="A185" s="99" t="s">
        <v>387</v>
      </c>
      <c r="B185" s="3" cm="1">
        <f t="array" ref="B185">SUMPRODUCT((ISNUMBER(MATCH(ESTIMATE!$L$6:$L$205,A185,0)))*(ESTIMATE!$M$6:$M$205)*(ESTIMATE!$A$6:$A$205))</f>
        <v>0</v>
      </c>
      <c r="C185" s="100">
        <v>7.22</v>
      </c>
      <c r="D185" s="97">
        <f t="shared" si="2"/>
        <v>0</v>
      </c>
    </row>
    <row r="186" spans="1:4" ht="15">
      <c r="A186" s="99" t="s">
        <v>388</v>
      </c>
      <c r="B186" s="3" cm="1">
        <f t="array" ref="B186">SUMPRODUCT((ISNUMBER(MATCH(ESTIMATE!$L$6:$L$205,A186,0)))*(ESTIMATE!$M$6:$M$205)*(ESTIMATE!$A$6:$A$205))</f>
        <v>0</v>
      </c>
      <c r="C186" s="100">
        <v>7.3</v>
      </c>
      <c r="D186" s="97">
        <f t="shared" si="2"/>
        <v>0</v>
      </c>
    </row>
    <row r="187" spans="1:4" ht="15">
      <c r="A187" s="99" t="s">
        <v>389</v>
      </c>
      <c r="B187" s="3" cm="1">
        <f t="array" ref="B187">SUMPRODUCT((ISNUMBER(MATCH(ESTIMATE!$L$6:$L$205,A187,0)))*(ESTIMATE!$M$6:$M$205)*(ESTIMATE!$A$6:$A$205))</f>
        <v>0</v>
      </c>
      <c r="C187" s="100">
        <v>7.35</v>
      </c>
      <c r="D187" s="97">
        <f t="shared" si="2"/>
        <v>0</v>
      </c>
    </row>
    <row r="188" spans="1:4" ht="15">
      <c r="A188" s="99" t="s">
        <v>390</v>
      </c>
      <c r="B188" s="3" cm="1">
        <f t="array" ref="B188">SUMPRODUCT((ISNUMBER(MATCH(ESTIMATE!$L$6:$L$205,A188,0)))*(ESTIMATE!$M$6:$M$205)*(ESTIMATE!$A$6:$A$205))</f>
        <v>0</v>
      </c>
      <c r="C188" s="100">
        <v>7.42</v>
      </c>
      <c r="D188" s="97">
        <f t="shared" si="2"/>
        <v>0</v>
      </c>
    </row>
    <row r="189" spans="1:4" ht="15">
      <c r="A189" s="99" t="s">
        <v>391</v>
      </c>
      <c r="B189" s="3" cm="1">
        <f t="array" ref="B189">SUMPRODUCT((ISNUMBER(MATCH(ESTIMATE!$L$6:$L$205,A189,0)))*(ESTIMATE!$M$6:$M$205)*(ESTIMATE!$A$6:$A$205))</f>
        <v>0</v>
      </c>
      <c r="C189" s="100">
        <v>7.5</v>
      </c>
      <c r="D189" s="97">
        <f t="shared" si="2"/>
        <v>0</v>
      </c>
    </row>
    <row r="190" spans="1:4" ht="15">
      <c r="A190" s="99" t="s">
        <v>392</v>
      </c>
      <c r="B190" s="3" cm="1">
        <f t="array" ref="B190">SUMPRODUCT((ISNUMBER(MATCH(ESTIMATE!$L$6:$L$205,A190,0)))*(ESTIMATE!$M$6:$M$205)*(ESTIMATE!$A$6:$A$205))</f>
        <v>0</v>
      </c>
      <c r="C190" s="100">
        <v>7.58</v>
      </c>
      <c r="D190" s="97">
        <f t="shared" si="2"/>
        <v>0</v>
      </c>
    </row>
    <row r="191" spans="1:4" ht="15">
      <c r="A191" s="99" t="s">
        <v>393</v>
      </c>
      <c r="B191" s="3" cm="1">
        <f t="array" ref="B191">SUMPRODUCT((ISNUMBER(MATCH(ESTIMATE!$L$6:$L$205,A191,0)))*(ESTIMATE!$M$6:$M$205)*(ESTIMATE!$A$6:$A$205))</f>
        <v>0</v>
      </c>
      <c r="C191" s="100">
        <v>7.67</v>
      </c>
      <c r="D191" s="97">
        <f t="shared" si="2"/>
        <v>0</v>
      </c>
    </row>
    <row r="192" spans="1:4" ht="15">
      <c r="A192" s="99" t="s">
        <v>394</v>
      </c>
      <c r="B192" s="3" cm="1">
        <f t="array" ref="B192">SUMPRODUCT((ISNUMBER(MATCH(ESTIMATE!$L$6:$L$205,A192,0)))*(ESTIMATE!$M$6:$M$205)*(ESTIMATE!$A$6:$A$205))</f>
        <v>0</v>
      </c>
      <c r="C192" s="100">
        <v>7.75</v>
      </c>
      <c r="D192" s="97">
        <f t="shared" si="2"/>
        <v>0</v>
      </c>
    </row>
    <row r="193" spans="1:4" ht="15">
      <c r="A193" s="99" t="s">
        <v>395</v>
      </c>
      <c r="B193" s="3" cm="1">
        <f t="array" ref="B193">SUMPRODUCT((ISNUMBER(MATCH(ESTIMATE!$L$6:$L$205,A193,0)))*(ESTIMATE!$M$6:$M$205)*(ESTIMATE!$A$6:$A$205))</f>
        <v>0</v>
      </c>
      <c r="C193" s="100">
        <v>7.83</v>
      </c>
      <c r="D193" s="97">
        <f t="shared" si="2"/>
        <v>0</v>
      </c>
    </row>
    <row r="194" spans="1:4" ht="15">
      <c r="A194" s="99" t="s">
        <v>396</v>
      </c>
      <c r="B194" s="3" cm="1">
        <f t="array" ref="B194">SUMPRODUCT((ISNUMBER(MATCH(ESTIMATE!$L$6:$L$205,A194,0)))*(ESTIMATE!$M$6:$M$205)*(ESTIMATE!$A$6:$A$205))</f>
        <v>0</v>
      </c>
      <c r="C194" s="100">
        <v>7.92</v>
      </c>
      <c r="D194" s="97">
        <f>SUM(B194*C194)</f>
        <v>0</v>
      </c>
    </row>
    <row r="195" spans="1:4" ht="15">
      <c r="A195" s="99" t="s">
        <v>397</v>
      </c>
      <c r="B195" s="3" cm="1">
        <f t="array" ref="B195">SUMPRODUCT((ISNUMBER(MATCH(ESTIMATE!$L$6:$L$205,A195,0)))*(ESTIMATE!$M$6:$M$205)*(ESTIMATE!$A$6:$A$205))</f>
        <v>0</v>
      </c>
      <c r="C195" s="100">
        <v>8.0299999999999994</v>
      </c>
      <c r="D195" s="97">
        <f t="shared" ref="D195:D258" si="3">SUM(B195*C195)</f>
        <v>0</v>
      </c>
    </row>
    <row r="196" spans="1:4" ht="15">
      <c r="A196" s="99" t="s">
        <v>398</v>
      </c>
      <c r="B196" s="3" cm="1">
        <f t="array" ref="B196">SUMPRODUCT((ISNUMBER(MATCH(ESTIMATE!$L$6:$L$205,A196,0)))*(ESTIMATE!$M$6:$M$205)*(ESTIMATE!$A$6:$A$205))</f>
        <v>0</v>
      </c>
      <c r="C196" s="100">
        <v>8.1199999999999992</v>
      </c>
      <c r="D196" s="97">
        <f t="shared" si="3"/>
        <v>0</v>
      </c>
    </row>
    <row r="197" spans="1:4" ht="15">
      <c r="A197" s="99" t="s">
        <v>399</v>
      </c>
      <c r="B197" s="3" cm="1">
        <f t="array" ref="B197">SUMPRODUCT((ISNUMBER(MATCH(ESTIMATE!$L$6:$L$205,A197,0)))*(ESTIMATE!$M$6:$M$205)*(ESTIMATE!$A$6:$A$205))</f>
        <v>0</v>
      </c>
      <c r="C197" s="100">
        <v>8.18</v>
      </c>
      <c r="D197" s="97">
        <f t="shared" si="3"/>
        <v>0</v>
      </c>
    </row>
    <row r="198" spans="1:4" ht="15">
      <c r="A198" s="99" t="s">
        <v>400</v>
      </c>
      <c r="B198" s="3" cm="1">
        <f t="array" ref="B198">SUMPRODUCT((ISNUMBER(MATCH(ESTIMATE!$L$6:$L$205,A198,0)))*(ESTIMATE!$M$6:$M$205)*(ESTIMATE!$A$6:$A$205))</f>
        <v>0</v>
      </c>
      <c r="C198" s="100">
        <v>8.27</v>
      </c>
      <c r="D198" s="97">
        <f t="shared" si="3"/>
        <v>0</v>
      </c>
    </row>
    <row r="199" spans="1:4" ht="15">
      <c r="A199" s="99" t="s">
        <v>401</v>
      </c>
      <c r="B199" s="3" cm="1">
        <f t="array" ref="B199">SUMPRODUCT((ISNUMBER(MATCH(ESTIMATE!$L$6:$L$205,A199,0)))*(ESTIMATE!$M$6:$M$205)*(ESTIMATE!$A$6:$A$205))</f>
        <v>0</v>
      </c>
      <c r="C199" s="100">
        <v>8.4</v>
      </c>
      <c r="D199" s="97">
        <f t="shared" si="3"/>
        <v>0</v>
      </c>
    </row>
    <row r="200" spans="1:4" ht="15">
      <c r="A200" s="99" t="s">
        <v>402</v>
      </c>
      <c r="B200" s="3" cm="1">
        <f t="array" ref="B200">SUMPRODUCT((ISNUMBER(MATCH(ESTIMATE!$L$6:$L$205,A200,0)))*(ESTIMATE!$M$6:$M$205)*(ESTIMATE!$A$6:$A$205))</f>
        <v>0</v>
      </c>
      <c r="C200" s="100">
        <v>8.48</v>
      </c>
      <c r="D200" s="97">
        <f t="shared" si="3"/>
        <v>0</v>
      </c>
    </row>
    <row r="201" spans="1:4" ht="15">
      <c r="A201" s="99" t="s">
        <v>403</v>
      </c>
      <c r="B201" s="3" cm="1">
        <f t="array" ref="B201">SUMPRODUCT((ISNUMBER(MATCH(ESTIMATE!$L$6:$L$205,A201,0)))*(ESTIMATE!$M$6:$M$205)*(ESTIMATE!$A$6:$A$205))</f>
        <v>0</v>
      </c>
      <c r="C201" s="100">
        <v>8.57</v>
      </c>
      <c r="D201" s="97">
        <f t="shared" si="3"/>
        <v>0</v>
      </c>
    </row>
    <row r="202" spans="1:4" ht="15">
      <c r="A202" s="99" t="s">
        <v>404</v>
      </c>
      <c r="B202" s="3" cm="1">
        <f t="array" ref="B202">SUMPRODUCT((ISNUMBER(MATCH(ESTIMATE!$L$6:$L$205,A202,0)))*(ESTIMATE!$M$6:$M$205)*(ESTIMATE!$A$6:$A$205))</f>
        <v>0</v>
      </c>
      <c r="C202" s="100">
        <v>8.68</v>
      </c>
      <c r="D202" s="97">
        <f t="shared" si="3"/>
        <v>0</v>
      </c>
    </row>
    <row r="203" spans="1:4" ht="15">
      <c r="A203" s="99" t="s">
        <v>405</v>
      </c>
      <c r="B203" s="3" cm="1">
        <f t="array" ref="B203">SUMPRODUCT((ISNUMBER(MATCH(ESTIMATE!$L$6:$L$205,A203,0)))*(ESTIMATE!$M$6:$M$205)*(ESTIMATE!$A$6:$A$205))</f>
        <v>0</v>
      </c>
      <c r="C203" s="100">
        <v>8.77</v>
      </c>
      <c r="D203" s="97">
        <f t="shared" si="3"/>
        <v>0</v>
      </c>
    </row>
    <row r="204" spans="1:4" ht="15">
      <c r="A204" s="99" t="s">
        <v>406</v>
      </c>
      <c r="B204" s="3" cm="1">
        <f t="array" ref="B204">SUMPRODUCT((ISNUMBER(MATCH(ESTIMATE!$L$6:$L$205,A204,0)))*(ESTIMATE!$M$6:$M$205)*(ESTIMATE!$A$6:$A$205))</f>
        <v>0</v>
      </c>
      <c r="C204" s="100">
        <v>8.9</v>
      </c>
      <c r="D204" s="97">
        <f t="shared" si="3"/>
        <v>0</v>
      </c>
    </row>
    <row r="205" spans="1:4" ht="15">
      <c r="A205" s="99" t="s">
        <v>407</v>
      </c>
      <c r="B205" s="3" cm="1">
        <f t="array" ref="B205">SUMPRODUCT((ISNUMBER(MATCH(ESTIMATE!$L$6:$L$205,A205,0)))*(ESTIMATE!$M$6:$M$205)*(ESTIMATE!$A$6:$A$205))</f>
        <v>0</v>
      </c>
      <c r="C205" s="100">
        <v>8.98</v>
      </c>
      <c r="D205" s="97">
        <f t="shared" si="3"/>
        <v>0</v>
      </c>
    </row>
    <row r="206" spans="1:4" ht="15">
      <c r="A206" s="99" t="s">
        <v>408</v>
      </c>
      <c r="B206" s="3" cm="1">
        <f t="array" ref="B206">SUMPRODUCT((ISNUMBER(MATCH(ESTIMATE!$L$6:$L$205,A206,0)))*(ESTIMATE!$M$6:$M$205)*(ESTIMATE!$A$6:$A$205))</f>
        <v>0</v>
      </c>
      <c r="C206" s="100">
        <v>9.07</v>
      </c>
      <c r="D206" s="97">
        <f t="shared" si="3"/>
        <v>0</v>
      </c>
    </row>
    <row r="207" spans="1:4" ht="15">
      <c r="A207" s="99" t="s">
        <v>409</v>
      </c>
      <c r="B207" s="3" cm="1">
        <f t="array" ref="B207">SUMPRODUCT((ISNUMBER(MATCH(ESTIMATE!$L$6:$L$205,A207,0)))*(ESTIMATE!$M$6:$M$205)*(ESTIMATE!$A$6:$A$205))</f>
        <v>0</v>
      </c>
      <c r="C207" s="100">
        <v>9.18</v>
      </c>
      <c r="D207" s="97">
        <f t="shared" si="3"/>
        <v>0</v>
      </c>
    </row>
    <row r="208" spans="1:4" ht="15">
      <c r="A208" s="99" t="s">
        <v>410</v>
      </c>
      <c r="B208" s="3" cm="1">
        <f t="array" ref="B208">SUMPRODUCT((ISNUMBER(MATCH(ESTIMATE!$L$6:$L$205,A208,0)))*(ESTIMATE!$M$6:$M$205)*(ESTIMATE!$A$6:$A$205))</f>
        <v>0</v>
      </c>
      <c r="C208" s="100">
        <v>9.3000000000000007</v>
      </c>
      <c r="D208" s="97">
        <f t="shared" si="3"/>
        <v>0</v>
      </c>
    </row>
    <row r="209" spans="1:4" ht="15">
      <c r="A209" s="99" t="s">
        <v>411</v>
      </c>
      <c r="B209" s="3" cm="1">
        <f t="array" ref="B209">SUMPRODUCT((ISNUMBER(MATCH(ESTIMATE!$L$6:$L$205,A209,0)))*(ESTIMATE!$M$6:$M$205)*(ESTIMATE!$A$6:$A$205))</f>
        <v>0</v>
      </c>
      <c r="C209" s="100">
        <v>9.3800000000000008</v>
      </c>
      <c r="D209" s="97">
        <f t="shared" si="3"/>
        <v>0</v>
      </c>
    </row>
    <row r="210" spans="1:4" ht="15">
      <c r="A210" s="99" t="s">
        <v>412</v>
      </c>
      <c r="B210" s="3" cm="1">
        <f t="array" ref="B210">SUMPRODUCT((ISNUMBER(MATCH(ESTIMATE!$L$6:$L$205,A210,0)))*(ESTIMATE!$M$6:$M$205)*(ESTIMATE!$A$6:$A$205))</f>
        <v>0</v>
      </c>
      <c r="C210" s="100">
        <v>9.58</v>
      </c>
      <c r="D210" s="97">
        <f t="shared" si="3"/>
        <v>0</v>
      </c>
    </row>
    <row r="211" spans="1:4" ht="15">
      <c r="A211" s="99" t="s">
        <v>413</v>
      </c>
      <c r="B211" s="3" cm="1">
        <f t="array" ref="B211">SUMPRODUCT((ISNUMBER(MATCH(ESTIMATE!$L$6:$L$205,A211,0)))*(ESTIMATE!$M$6:$M$205)*(ESTIMATE!$A$6:$A$205))</f>
        <v>0</v>
      </c>
      <c r="C211" s="100">
        <v>9.8000000000000007</v>
      </c>
      <c r="D211" s="97">
        <f t="shared" si="3"/>
        <v>0</v>
      </c>
    </row>
    <row r="212" spans="1:4" ht="15">
      <c r="A212" s="99" t="s">
        <v>414</v>
      </c>
      <c r="B212" s="3" cm="1">
        <f t="array" ref="B212">SUMPRODUCT((ISNUMBER(MATCH(ESTIMATE!$L$6:$L$205,A212,0)))*(ESTIMATE!$M$6:$M$205)*(ESTIMATE!$A$6:$A$205))</f>
        <v>0</v>
      </c>
      <c r="C212" s="100">
        <v>9.85</v>
      </c>
      <c r="D212" s="97">
        <f t="shared" si="3"/>
        <v>0</v>
      </c>
    </row>
    <row r="213" spans="1:4" ht="15">
      <c r="A213" s="99" t="s">
        <v>415</v>
      </c>
      <c r="B213" s="3" cm="1">
        <f t="array" ref="B213">SUMPRODUCT((ISNUMBER(MATCH(ESTIMATE!$L$6:$L$205,A213,0)))*(ESTIMATE!$M$6:$M$205)*(ESTIMATE!$A$6:$A$205))</f>
        <v>0</v>
      </c>
      <c r="C213" s="100">
        <v>9.92</v>
      </c>
      <c r="D213" s="97">
        <f t="shared" si="3"/>
        <v>0</v>
      </c>
    </row>
    <row r="214" spans="1:4" ht="15">
      <c r="A214" s="99" t="s">
        <v>416</v>
      </c>
      <c r="B214" s="3" cm="1">
        <f t="array" ref="B214">SUMPRODUCT((ISNUMBER(MATCH(ESTIMATE!$L$6:$L$205,A214,0)))*(ESTIMATE!$M$6:$M$205)*(ESTIMATE!$A$6:$A$205))</f>
        <v>0</v>
      </c>
      <c r="C214" s="100">
        <v>10</v>
      </c>
      <c r="D214" s="97">
        <f t="shared" si="3"/>
        <v>0</v>
      </c>
    </row>
    <row r="215" spans="1:4" ht="15">
      <c r="A215" s="99" t="s">
        <v>417</v>
      </c>
      <c r="B215" s="3" cm="1">
        <f t="array" ref="B215">SUMPRODUCT((ISNUMBER(MATCH(ESTIMATE!$L$6:$L$205,A215,0)))*(ESTIMATE!$M$6:$M$205)*(ESTIMATE!$A$6:$A$205))</f>
        <v>0</v>
      </c>
      <c r="C215" s="100">
        <v>10.08</v>
      </c>
      <c r="D215" s="97">
        <f t="shared" si="3"/>
        <v>0</v>
      </c>
    </row>
    <row r="216" spans="1:4" ht="15">
      <c r="A216" s="99" t="s">
        <v>418</v>
      </c>
      <c r="B216" s="3" cm="1">
        <f t="array" ref="B216">SUMPRODUCT((ISNUMBER(MATCH(ESTIMATE!$L$6:$L$205,A216,0)))*(ESTIMATE!$M$6:$M$205)*(ESTIMATE!$A$6:$A$205))</f>
        <v>0</v>
      </c>
      <c r="C216" s="100">
        <v>10.199999999999999</v>
      </c>
      <c r="D216" s="97">
        <f t="shared" si="3"/>
        <v>0</v>
      </c>
    </row>
    <row r="217" spans="1:4" ht="15">
      <c r="A217" s="99" t="s">
        <v>419</v>
      </c>
      <c r="B217" s="3" cm="1">
        <f t="array" ref="B217">SUMPRODUCT((ISNUMBER(MATCH(ESTIMATE!$L$6:$L$205,A217,0)))*(ESTIMATE!$M$6:$M$205)*(ESTIMATE!$A$6:$A$205))</f>
        <v>0</v>
      </c>
      <c r="C217" s="100">
        <v>10.35</v>
      </c>
      <c r="D217" s="97">
        <f t="shared" si="3"/>
        <v>0</v>
      </c>
    </row>
    <row r="218" spans="1:4" ht="15">
      <c r="A218" s="99" t="s">
        <v>420</v>
      </c>
      <c r="B218" s="3" cm="1">
        <f t="array" ref="B218">SUMPRODUCT((ISNUMBER(MATCH(ESTIMATE!$L$6:$L$205,A218,0)))*(ESTIMATE!$M$6:$M$205)*(ESTIMATE!$A$6:$A$205))</f>
        <v>0</v>
      </c>
      <c r="C218" s="100">
        <v>10.52</v>
      </c>
      <c r="D218" s="97">
        <f t="shared" si="3"/>
        <v>0</v>
      </c>
    </row>
    <row r="219" spans="1:4" ht="15">
      <c r="A219" s="99" t="s">
        <v>421</v>
      </c>
      <c r="B219" s="3" cm="1">
        <f t="array" ref="B219">SUMPRODUCT((ISNUMBER(MATCH(ESTIMATE!$L$6:$L$205,A219,0)))*(ESTIMATE!$M$6:$M$205)*(ESTIMATE!$A$6:$A$205))</f>
        <v>0</v>
      </c>
      <c r="C219" s="100">
        <v>10.68</v>
      </c>
      <c r="D219" s="97">
        <f t="shared" si="3"/>
        <v>0</v>
      </c>
    </row>
    <row r="220" spans="1:4" ht="15">
      <c r="A220" s="99" t="s">
        <v>422</v>
      </c>
      <c r="B220" s="3" cm="1">
        <f t="array" ref="B220">SUMPRODUCT((ISNUMBER(MATCH(ESTIMATE!$L$6:$L$205,A220,0)))*(ESTIMATE!$M$6:$M$205)*(ESTIMATE!$A$6:$A$205))</f>
        <v>0</v>
      </c>
      <c r="C220" s="100">
        <v>10.83</v>
      </c>
      <c r="D220" s="97">
        <f t="shared" si="3"/>
        <v>0</v>
      </c>
    </row>
    <row r="221" spans="1:4" ht="15">
      <c r="A221" s="99" t="s">
        <v>423</v>
      </c>
      <c r="B221" s="3" cm="1">
        <f t="array" ref="B221">SUMPRODUCT((ISNUMBER(MATCH(ESTIMATE!$L$6:$L$205,A221,0)))*(ESTIMATE!$M$6:$M$205)*(ESTIMATE!$A$6:$A$205))</f>
        <v>0</v>
      </c>
      <c r="C221" s="100">
        <v>11.02</v>
      </c>
      <c r="D221" s="97">
        <f t="shared" si="3"/>
        <v>0</v>
      </c>
    </row>
    <row r="222" spans="1:4" ht="15">
      <c r="A222" s="99" t="s">
        <v>424</v>
      </c>
      <c r="B222" s="3" cm="1">
        <f t="array" ref="B222">SUMPRODUCT((ISNUMBER(MATCH(ESTIMATE!$L$6:$L$205,A222,0)))*(ESTIMATE!$M$6:$M$205)*(ESTIMATE!$A$6:$A$205))</f>
        <v>0</v>
      </c>
      <c r="C222" s="100">
        <v>11.17</v>
      </c>
      <c r="D222" s="97">
        <f t="shared" si="3"/>
        <v>0</v>
      </c>
    </row>
    <row r="223" spans="1:4" ht="15">
      <c r="A223" s="99" t="s">
        <v>425</v>
      </c>
      <c r="B223" s="3" cm="1">
        <f t="array" ref="B223">SUMPRODUCT((ISNUMBER(MATCH(ESTIMATE!$L$6:$L$205,A223,0)))*(ESTIMATE!$M$6:$M$205)*(ESTIMATE!$A$6:$A$205))</f>
        <v>0</v>
      </c>
      <c r="C223" s="100">
        <v>11.33</v>
      </c>
      <c r="D223" s="97">
        <f t="shared" si="3"/>
        <v>0</v>
      </c>
    </row>
    <row r="224" spans="1:4" ht="15">
      <c r="A224" s="99" t="s">
        <v>426</v>
      </c>
      <c r="B224" s="3" cm="1">
        <f t="array" ref="B224">SUMPRODUCT((ISNUMBER(MATCH(ESTIMATE!$L$6:$L$205,A224,0)))*(ESTIMATE!$M$6:$M$205)*(ESTIMATE!$A$6:$A$205))</f>
        <v>0</v>
      </c>
      <c r="C224" s="100">
        <v>11.48</v>
      </c>
      <c r="D224" s="97">
        <f t="shared" si="3"/>
        <v>0</v>
      </c>
    </row>
    <row r="225" spans="1:4" ht="15">
      <c r="A225" s="99" t="s">
        <v>427</v>
      </c>
      <c r="B225" s="3" cm="1">
        <f t="array" ref="B225">SUMPRODUCT((ISNUMBER(MATCH(ESTIMATE!$L$6:$L$205,A225,0)))*(ESTIMATE!$M$6:$M$205)*(ESTIMATE!$A$6:$A$205))</f>
        <v>0</v>
      </c>
      <c r="C225" s="100">
        <v>11.67</v>
      </c>
      <c r="D225" s="97">
        <f t="shared" si="3"/>
        <v>0</v>
      </c>
    </row>
    <row r="226" spans="1:4" ht="15">
      <c r="A226" s="99" t="s">
        <v>428</v>
      </c>
      <c r="B226" s="3" cm="1">
        <f t="array" ref="B226">SUMPRODUCT((ISNUMBER(MATCH(ESTIMATE!$L$6:$L$205,A226,0)))*(ESTIMATE!$M$6:$M$205)*(ESTIMATE!$A$6:$A$205))</f>
        <v>0</v>
      </c>
      <c r="C226" s="100">
        <v>11.83</v>
      </c>
      <c r="D226" s="97">
        <f t="shared" si="3"/>
        <v>0</v>
      </c>
    </row>
    <row r="227" spans="1:4" ht="15">
      <c r="A227" s="99" t="s">
        <v>429</v>
      </c>
      <c r="B227" s="3" cm="1">
        <f t="array" ref="B227">SUMPRODUCT((ISNUMBER(MATCH(ESTIMATE!$L$6:$L$205,A227,0)))*(ESTIMATE!$M$6:$M$205)*(ESTIMATE!$A$6:$A$205))</f>
        <v>0</v>
      </c>
      <c r="C227" s="100">
        <v>11.98</v>
      </c>
      <c r="D227" s="97">
        <f t="shared" si="3"/>
        <v>0</v>
      </c>
    </row>
    <row r="228" spans="1:4" ht="15">
      <c r="A228" s="99" t="s">
        <v>430</v>
      </c>
      <c r="B228" s="3" cm="1">
        <f t="array" ref="B228">SUMPRODUCT((ISNUMBER(MATCH(ESTIMATE!$L$6:$L$205,A228,0)))*(ESTIMATE!$M$6:$M$205)*(ESTIMATE!$A$6:$A$205))</f>
        <v>0</v>
      </c>
      <c r="C228" s="100">
        <v>12.15</v>
      </c>
      <c r="D228" s="97">
        <f t="shared" si="3"/>
        <v>0</v>
      </c>
    </row>
    <row r="229" spans="1:4" ht="15">
      <c r="A229" s="99" t="s">
        <v>431</v>
      </c>
      <c r="B229" s="3" cm="1">
        <f t="array" ref="B229">SUMPRODUCT((ISNUMBER(MATCH(ESTIMATE!$L$6:$L$205,A229,0)))*(ESTIMATE!$M$6:$M$205)*(ESTIMATE!$A$6:$A$205))</f>
        <v>0</v>
      </c>
      <c r="C229" s="100">
        <v>12.32</v>
      </c>
      <c r="D229" s="97">
        <f t="shared" si="3"/>
        <v>0</v>
      </c>
    </row>
    <row r="230" spans="1:4" ht="15">
      <c r="A230" s="99" t="s">
        <v>432</v>
      </c>
      <c r="B230" s="3" cm="1">
        <f t="array" ref="B230">SUMPRODUCT((ISNUMBER(MATCH(ESTIMATE!$L$6:$L$205,A230,0)))*(ESTIMATE!$M$6:$M$205)*(ESTIMATE!$A$6:$A$205))</f>
        <v>0</v>
      </c>
      <c r="C230" s="100">
        <v>12.47</v>
      </c>
      <c r="D230" s="97">
        <f t="shared" si="3"/>
        <v>0</v>
      </c>
    </row>
    <row r="231" spans="1:4" ht="15">
      <c r="A231" s="99" t="s">
        <v>433</v>
      </c>
      <c r="B231" s="3" cm="1">
        <f t="array" ref="B231">SUMPRODUCT((ISNUMBER(MATCH(ESTIMATE!$L$6:$L$205,A231,0)))*(ESTIMATE!$M$6:$M$205)*(ESTIMATE!$A$6:$A$205))</f>
        <v>0</v>
      </c>
      <c r="C231" s="100">
        <v>12.65</v>
      </c>
      <c r="D231" s="97">
        <f t="shared" si="3"/>
        <v>0</v>
      </c>
    </row>
    <row r="232" spans="1:4" ht="15">
      <c r="A232" s="99" t="s">
        <v>434</v>
      </c>
      <c r="B232" s="3" cm="1">
        <f t="array" ref="B232">SUMPRODUCT((ISNUMBER(MATCH(ESTIMATE!$L$6:$L$205,A232,0)))*(ESTIMATE!$M$6:$M$205)*(ESTIMATE!$A$6:$A$205))</f>
        <v>0</v>
      </c>
      <c r="C232" s="100">
        <v>12.78</v>
      </c>
      <c r="D232" s="97">
        <f t="shared" si="3"/>
        <v>0</v>
      </c>
    </row>
    <row r="233" spans="1:4" ht="15">
      <c r="A233" s="99" t="s">
        <v>435</v>
      </c>
      <c r="B233" s="3" cm="1">
        <f t="array" ref="B233">SUMPRODUCT((ISNUMBER(MATCH(ESTIMATE!$L$6:$L$205,A233,0)))*(ESTIMATE!$M$6:$M$205)*(ESTIMATE!$A$6:$A$205))</f>
        <v>0</v>
      </c>
      <c r="C233" s="100">
        <v>12.93</v>
      </c>
      <c r="D233" s="97">
        <f t="shared" si="3"/>
        <v>0</v>
      </c>
    </row>
    <row r="234" spans="1:4" ht="15">
      <c r="A234" s="99" t="s">
        <v>436</v>
      </c>
      <c r="B234" s="3" cm="1">
        <f t="array" ref="B234">SUMPRODUCT((ISNUMBER(MATCH(ESTIMATE!$L$6:$L$205,A234,0)))*(ESTIMATE!$M$6:$M$205)*(ESTIMATE!$A$6:$A$205))</f>
        <v>0</v>
      </c>
      <c r="C234" s="100">
        <v>13.05</v>
      </c>
      <c r="D234" s="97">
        <f t="shared" si="3"/>
        <v>0</v>
      </c>
    </row>
    <row r="235" spans="1:4" ht="15">
      <c r="A235" s="99" t="s">
        <v>437</v>
      </c>
      <c r="B235" s="3" cm="1">
        <f t="array" ref="B235">SUMPRODUCT((ISNUMBER(MATCH(ESTIMATE!$L$6:$L$205,A235,0)))*(ESTIMATE!$M$6:$M$205)*(ESTIMATE!$A$6:$A$205))</f>
        <v>0</v>
      </c>
      <c r="C235" s="100">
        <v>13.2</v>
      </c>
      <c r="D235" s="97">
        <f t="shared" si="3"/>
        <v>0</v>
      </c>
    </row>
    <row r="236" spans="1:4" ht="15">
      <c r="A236" s="99" t="s">
        <v>438</v>
      </c>
      <c r="B236" s="3" cm="1">
        <f t="array" ref="B236">SUMPRODUCT((ISNUMBER(MATCH(ESTIMATE!$L$6:$L$205,A236,0)))*(ESTIMATE!$M$6:$M$205)*(ESTIMATE!$A$6:$A$205))</f>
        <v>0</v>
      </c>
      <c r="C236" s="100">
        <v>13.33</v>
      </c>
      <c r="D236" s="97">
        <f t="shared" si="3"/>
        <v>0</v>
      </c>
    </row>
    <row r="237" spans="1:4" ht="15">
      <c r="A237" s="99" t="s">
        <v>439</v>
      </c>
      <c r="B237" s="3" cm="1">
        <f t="array" ref="B237">SUMPRODUCT((ISNUMBER(MATCH(ESTIMATE!$L$6:$L$205,A237,0)))*(ESTIMATE!$M$6:$M$205)*(ESTIMATE!$A$6:$A$205))</f>
        <v>0</v>
      </c>
      <c r="C237" s="100">
        <v>13.47</v>
      </c>
      <c r="D237" s="97">
        <f t="shared" si="3"/>
        <v>0</v>
      </c>
    </row>
    <row r="238" spans="1:4" ht="15">
      <c r="A238" s="99" t="s">
        <v>440</v>
      </c>
      <c r="B238" s="3" cm="1">
        <f t="array" ref="B238">SUMPRODUCT((ISNUMBER(MATCH(ESTIMATE!$L$6:$L$205,A238,0)))*(ESTIMATE!$M$6:$M$205)*(ESTIMATE!$A$6:$A$205))</f>
        <v>0</v>
      </c>
      <c r="C238" s="100">
        <v>13.57</v>
      </c>
      <c r="D238" s="97">
        <f t="shared" si="3"/>
        <v>0</v>
      </c>
    </row>
    <row r="239" spans="1:4" ht="15">
      <c r="A239" s="99" t="s">
        <v>1242</v>
      </c>
      <c r="B239" s="3" cm="1">
        <f t="array" ref="B239">SUMPRODUCT((ISNUMBER(MATCH(ESTIMATE!$L$6:$L$205,A239,0)))*(ESTIMATE!$M$6:$M$205)*(ESTIMATE!$A$6:$A$205))</f>
        <v>0</v>
      </c>
      <c r="C239" s="100">
        <v>13.75</v>
      </c>
      <c r="D239" s="97">
        <f t="shared" si="3"/>
        <v>0</v>
      </c>
    </row>
    <row r="240" spans="1:4" ht="15">
      <c r="A240" s="99" t="s">
        <v>352</v>
      </c>
      <c r="B240" s="3" cm="1">
        <f t="array" ref="B240">SUMPRODUCT((ISNUMBER(MATCH(ESTIMATE!$L$6:$L$205,A240,0)))*(ESTIMATE!$M$6:$M$205)*(ESTIMATE!$A$6:$A$205))</f>
        <v>0</v>
      </c>
      <c r="C240" s="100">
        <v>14.03</v>
      </c>
      <c r="D240" s="97">
        <f t="shared" si="3"/>
        <v>0</v>
      </c>
    </row>
    <row r="241" spans="1:4" ht="15">
      <c r="A241" s="99" t="s">
        <v>353</v>
      </c>
      <c r="B241" s="3" cm="1">
        <f t="array" ref="B241">SUMPRODUCT((ISNUMBER(MATCH(ESTIMATE!$L$6:$L$205,A241,0)))*(ESTIMATE!$M$6:$M$205)*(ESTIMATE!$A$6:$A$205))</f>
        <v>0</v>
      </c>
      <c r="C241" s="100">
        <v>14.45</v>
      </c>
      <c r="D241" s="97">
        <f t="shared" si="3"/>
        <v>0</v>
      </c>
    </row>
    <row r="242" spans="1:4" ht="15">
      <c r="A242" s="99" t="s">
        <v>354</v>
      </c>
      <c r="B242" s="3" cm="1">
        <f t="array" ref="B242">SUMPRODUCT((ISNUMBER(MATCH(ESTIMATE!$L$6:$L$205,A242,0)))*(ESTIMATE!$M$6:$M$205)*(ESTIMATE!$A$6:$A$205))</f>
        <v>0</v>
      </c>
      <c r="C242" s="100">
        <v>14.68</v>
      </c>
      <c r="D242" s="97">
        <f t="shared" si="3"/>
        <v>0</v>
      </c>
    </row>
    <row r="243" spans="1:4" ht="15">
      <c r="A243" s="99" t="s">
        <v>355</v>
      </c>
      <c r="B243" s="3" cm="1">
        <f t="array" ref="B243">SUMPRODUCT((ISNUMBER(MATCH(ESTIMATE!$L$6:$L$205,A243,0)))*(ESTIMATE!$M$6:$M$205)*(ESTIMATE!$A$6:$A$205))</f>
        <v>0</v>
      </c>
      <c r="C243" s="100">
        <v>15.83</v>
      </c>
      <c r="D243" s="97">
        <f t="shared" si="3"/>
        <v>0</v>
      </c>
    </row>
    <row r="244" spans="1:4" ht="15">
      <c r="A244" s="99" t="s">
        <v>356</v>
      </c>
      <c r="B244" s="3" cm="1">
        <f t="array" ref="B244">SUMPRODUCT((ISNUMBER(MATCH(ESTIMATE!$L$6:$L$205,A244,0)))*(ESTIMATE!$M$6:$M$205)*(ESTIMATE!$A$6:$A$205))</f>
        <v>0</v>
      </c>
      <c r="C244" s="100">
        <v>16.3</v>
      </c>
      <c r="D244" s="97">
        <f t="shared" si="3"/>
        <v>0</v>
      </c>
    </row>
    <row r="245" spans="1:4" ht="15">
      <c r="A245" s="99" t="s">
        <v>357</v>
      </c>
      <c r="B245" s="3" cm="1">
        <f t="array" ref="B245">SUMPRODUCT((ISNUMBER(MATCH(ESTIMATE!$L$6:$L$205,A245,0)))*(ESTIMATE!$M$6:$M$205)*(ESTIMATE!$A$6:$A$205))</f>
        <v>0</v>
      </c>
      <c r="C245" s="100">
        <v>17.53</v>
      </c>
      <c r="D245" s="97">
        <f t="shared" si="3"/>
        <v>0</v>
      </c>
    </row>
    <row r="246" spans="1:4" ht="15">
      <c r="A246" s="99" t="s">
        <v>358</v>
      </c>
      <c r="B246" s="3" cm="1">
        <f t="array" ref="B246">SUMPRODUCT((ISNUMBER(MATCH(ESTIMATE!$L$6:$L$205,A246,0)))*(ESTIMATE!$M$6:$M$205)*(ESTIMATE!$A$6:$A$205))</f>
        <v>0</v>
      </c>
      <c r="C246" s="100">
        <v>18.77</v>
      </c>
      <c r="D246" s="97">
        <f t="shared" si="3"/>
        <v>0</v>
      </c>
    </row>
    <row r="247" spans="1:4" ht="15">
      <c r="A247" s="99" t="s">
        <v>1243</v>
      </c>
      <c r="B247" s="3" cm="1">
        <f t="array" ref="B247">SUMPRODUCT((ISNUMBER(MATCH(ESTIMATE!$L$6:$L$205,A247,0)))*(ESTIMATE!$M$6:$M$205)*(ESTIMATE!$A$6:$A$205))</f>
        <v>0</v>
      </c>
      <c r="C247" s="100">
        <v>19.53</v>
      </c>
      <c r="D247" s="97">
        <f t="shared" si="3"/>
        <v>0</v>
      </c>
    </row>
    <row r="248" spans="1:4" ht="15">
      <c r="A248" s="99" t="s">
        <v>359</v>
      </c>
      <c r="B248" s="3" cm="1">
        <f t="array" ref="B248">SUMPRODUCT((ISNUMBER(MATCH(ESTIMATE!$L$6:$L$205,A248,0)))*(ESTIMATE!$M$6:$M$205)*(ESTIMATE!$A$6:$A$205))</f>
        <v>0</v>
      </c>
      <c r="C248" s="100">
        <v>19.98</v>
      </c>
      <c r="D248" s="97">
        <f t="shared" si="3"/>
        <v>0</v>
      </c>
    </row>
    <row r="249" spans="1:4" ht="15">
      <c r="A249" s="99" t="s">
        <v>360</v>
      </c>
      <c r="B249" s="3" cm="1">
        <f t="array" ref="B249">SUMPRODUCT((ISNUMBER(MATCH(ESTIMATE!$L$6:$L$205,A249,0)))*(ESTIMATE!$M$6:$M$205)*(ESTIMATE!$A$6:$A$205))</f>
        <v>0</v>
      </c>
      <c r="C249" s="100">
        <v>21.18</v>
      </c>
      <c r="D249" s="97">
        <f t="shared" si="3"/>
        <v>0</v>
      </c>
    </row>
    <row r="250" spans="1:4" ht="15">
      <c r="A250" s="99" t="s">
        <v>361</v>
      </c>
      <c r="B250" s="3" cm="1">
        <f t="array" ref="B250">SUMPRODUCT((ISNUMBER(MATCH(ESTIMATE!$L$6:$L$205,A250,0)))*(ESTIMATE!$M$6:$M$205)*(ESTIMATE!$A$6:$A$205))</f>
        <v>0</v>
      </c>
      <c r="C250" s="100">
        <v>23.25</v>
      </c>
      <c r="D250" s="97">
        <f t="shared" si="3"/>
        <v>0</v>
      </c>
    </row>
    <row r="251" spans="1:4" ht="15">
      <c r="A251" s="99" t="s">
        <v>362</v>
      </c>
      <c r="B251" s="3" cm="1">
        <f t="array" ref="B251">SUMPRODUCT((ISNUMBER(MATCH(ESTIMATE!$L$6:$L$205,A251,0)))*(ESTIMATE!$M$6:$M$205)*(ESTIMATE!$A$6:$A$205))</f>
        <v>0</v>
      </c>
      <c r="C251" s="100">
        <v>25.5</v>
      </c>
      <c r="D251" s="97">
        <f t="shared" si="3"/>
        <v>0</v>
      </c>
    </row>
    <row r="252" spans="1:4" ht="15">
      <c r="A252" s="99" t="s">
        <v>363</v>
      </c>
      <c r="B252" s="3" cm="1">
        <f t="array" ref="B252">SUMPRODUCT((ISNUMBER(MATCH(ESTIMATE!$L$6:$L$205,A252,0)))*(ESTIMATE!$M$6:$M$205)*(ESTIMATE!$A$6:$A$205))</f>
        <v>0</v>
      </c>
      <c r="C252" s="100">
        <v>26.55</v>
      </c>
      <c r="D252" s="97">
        <f t="shared" si="3"/>
        <v>0</v>
      </c>
    </row>
    <row r="253" spans="1:4" ht="15">
      <c r="A253" s="99" t="s">
        <v>1244</v>
      </c>
      <c r="B253" s="3" cm="1">
        <f t="array" ref="B253">SUMPRODUCT((ISNUMBER(MATCH(ESTIMATE!$L$6:$L$205,A253,0)))*(ESTIMATE!$M$6:$M$205)*(ESTIMATE!$A$6:$A$205))</f>
        <v>0</v>
      </c>
      <c r="C253" s="100">
        <v>5.65</v>
      </c>
      <c r="D253" s="97">
        <f t="shared" si="3"/>
        <v>0</v>
      </c>
    </row>
    <row r="254" spans="1:4" ht="15">
      <c r="A254" s="99" t="s">
        <v>447</v>
      </c>
      <c r="B254" s="3" cm="1">
        <f t="array" ref="B254">SUMPRODUCT((ISNUMBER(MATCH(ESTIMATE!$L$6:$L$205,A254,0)))*(ESTIMATE!$M$6:$M$205)*(ESTIMATE!$A$6:$A$205))</f>
        <v>0</v>
      </c>
      <c r="C254" s="100">
        <v>5.95</v>
      </c>
      <c r="D254" s="97">
        <f t="shared" si="3"/>
        <v>0</v>
      </c>
    </row>
    <row r="255" spans="1:4" ht="15">
      <c r="A255" s="99" t="s">
        <v>448</v>
      </c>
      <c r="B255" s="3" cm="1">
        <f t="array" ref="B255">SUMPRODUCT((ISNUMBER(MATCH(ESTIMATE!$L$6:$L$205,A255,0)))*(ESTIMATE!$M$6:$M$205)*(ESTIMATE!$A$6:$A$205))</f>
        <v>0</v>
      </c>
      <c r="C255" s="100">
        <v>6.25</v>
      </c>
      <c r="D255" s="97">
        <f t="shared" si="3"/>
        <v>0</v>
      </c>
    </row>
    <row r="256" spans="1:4" ht="15">
      <c r="A256" s="99" t="s">
        <v>449</v>
      </c>
      <c r="B256" s="3" cm="1">
        <f t="array" ref="B256">SUMPRODUCT((ISNUMBER(MATCH(ESTIMATE!$L$6:$L$205,A256,0)))*(ESTIMATE!$M$6:$M$205)*(ESTIMATE!$A$6:$A$205))</f>
        <v>0</v>
      </c>
      <c r="C256" s="100">
        <v>6.52</v>
      </c>
      <c r="D256" s="97">
        <f t="shared" si="3"/>
        <v>0</v>
      </c>
    </row>
    <row r="257" spans="1:4" ht="15">
      <c r="A257" s="99" t="s">
        <v>450</v>
      </c>
      <c r="B257" s="3" cm="1">
        <f t="array" ref="B257">SUMPRODUCT((ISNUMBER(MATCH(ESTIMATE!$L$6:$L$205,A257,0)))*(ESTIMATE!$M$6:$M$205)*(ESTIMATE!$A$6:$A$205))</f>
        <v>0</v>
      </c>
      <c r="C257" s="100">
        <v>6.62</v>
      </c>
      <c r="D257" s="97">
        <f t="shared" si="3"/>
        <v>0</v>
      </c>
    </row>
    <row r="258" spans="1:4" ht="15">
      <c r="A258" s="99" t="s">
        <v>451</v>
      </c>
      <c r="B258" s="3" cm="1">
        <f t="array" ref="B258">SUMPRODUCT((ISNUMBER(MATCH(ESTIMATE!$L$6:$L$205,A258,0)))*(ESTIMATE!$M$6:$M$205)*(ESTIMATE!$A$6:$A$205))</f>
        <v>0</v>
      </c>
      <c r="C258" s="100">
        <v>6.72</v>
      </c>
      <c r="D258" s="97">
        <f t="shared" si="3"/>
        <v>0</v>
      </c>
    </row>
    <row r="259" spans="1:4" ht="15">
      <c r="A259" s="99" t="s">
        <v>452</v>
      </c>
      <c r="B259" s="3" cm="1">
        <f t="array" ref="B259">SUMPRODUCT((ISNUMBER(MATCH(ESTIMATE!$L$6:$L$205,A259,0)))*(ESTIMATE!$M$6:$M$205)*(ESTIMATE!$A$6:$A$205))</f>
        <v>0</v>
      </c>
      <c r="C259" s="100">
        <v>6.97</v>
      </c>
      <c r="D259" s="97">
        <f t="shared" ref="D259:D322" si="4">SUM(B259*C259)</f>
        <v>0</v>
      </c>
    </row>
    <row r="260" spans="1:4" ht="15">
      <c r="A260" s="99" t="s">
        <v>453</v>
      </c>
      <c r="B260" s="3" cm="1">
        <f t="array" ref="B260">SUMPRODUCT((ISNUMBER(MATCH(ESTIMATE!$L$6:$L$205,A260,0)))*(ESTIMATE!$M$6:$M$205)*(ESTIMATE!$A$6:$A$205))</f>
        <v>0</v>
      </c>
      <c r="C260" s="100">
        <v>7.1</v>
      </c>
      <c r="D260" s="97">
        <f t="shared" si="4"/>
        <v>0</v>
      </c>
    </row>
    <row r="261" spans="1:4" ht="15">
      <c r="A261" s="99" t="s">
        <v>454</v>
      </c>
      <c r="B261" s="3" cm="1">
        <f t="array" ref="B261">SUMPRODUCT((ISNUMBER(MATCH(ESTIMATE!$L$6:$L$205,A261,0)))*(ESTIMATE!$M$6:$M$205)*(ESTIMATE!$A$6:$A$205))</f>
        <v>0</v>
      </c>
      <c r="C261" s="100">
        <v>7.25</v>
      </c>
      <c r="D261" s="97">
        <f t="shared" si="4"/>
        <v>0</v>
      </c>
    </row>
    <row r="262" spans="1:4" ht="15">
      <c r="A262" s="99" t="s">
        <v>455</v>
      </c>
      <c r="B262" s="3" cm="1">
        <f t="array" ref="B262">SUMPRODUCT((ISNUMBER(MATCH(ESTIMATE!$L$6:$L$205,A262,0)))*(ESTIMATE!$M$6:$M$205)*(ESTIMATE!$A$6:$A$205))</f>
        <v>0</v>
      </c>
      <c r="C262" s="100">
        <v>7.33</v>
      </c>
      <c r="D262" s="97">
        <f t="shared" si="4"/>
        <v>0</v>
      </c>
    </row>
    <row r="263" spans="1:4" ht="15">
      <c r="A263" s="99" t="s">
        <v>456</v>
      </c>
      <c r="B263" s="3" cm="1">
        <f t="array" ref="B263">SUMPRODUCT((ISNUMBER(MATCH(ESTIMATE!$L$6:$L$205,A263,0)))*(ESTIMATE!$M$6:$M$205)*(ESTIMATE!$A$6:$A$205))</f>
        <v>0</v>
      </c>
      <c r="C263" s="100">
        <v>7.25</v>
      </c>
      <c r="D263" s="97">
        <f t="shared" si="4"/>
        <v>0</v>
      </c>
    </row>
    <row r="264" spans="1:4" ht="15">
      <c r="A264" s="99" t="s">
        <v>457</v>
      </c>
      <c r="B264" s="3" cm="1">
        <f t="array" ref="B264">SUMPRODUCT((ISNUMBER(MATCH(ESTIMATE!$L$6:$L$205,A264,0)))*(ESTIMATE!$M$6:$M$205)*(ESTIMATE!$A$6:$A$205))</f>
        <v>0</v>
      </c>
      <c r="C264" s="100">
        <v>7.5</v>
      </c>
      <c r="D264" s="97">
        <f t="shared" si="4"/>
        <v>0</v>
      </c>
    </row>
    <row r="265" spans="1:4" ht="15">
      <c r="A265" s="99" t="s">
        <v>458</v>
      </c>
      <c r="B265" s="3" cm="1">
        <f t="array" ref="B265">SUMPRODUCT((ISNUMBER(MATCH(ESTIMATE!$L$6:$L$205,A265,0)))*(ESTIMATE!$M$6:$M$205)*(ESTIMATE!$A$6:$A$205))</f>
        <v>0</v>
      </c>
      <c r="C265" s="100">
        <v>7.65</v>
      </c>
      <c r="D265" s="97">
        <f t="shared" si="4"/>
        <v>0</v>
      </c>
    </row>
    <row r="266" spans="1:4" ht="15">
      <c r="A266" s="99" t="s">
        <v>459</v>
      </c>
      <c r="B266" s="3" cm="1">
        <f t="array" ref="B266">SUMPRODUCT((ISNUMBER(MATCH(ESTIMATE!$L$6:$L$205,A266,0)))*(ESTIMATE!$M$6:$M$205)*(ESTIMATE!$A$6:$A$205))</f>
        <v>0</v>
      </c>
      <c r="C266" s="100">
        <v>7.78</v>
      </c>
      <c r="D266" s="97">
        <f t="shared" si="4"/>
        <v>0</v>
      </c>
    </row>
    <row r="267" spans="1:4" ht="15">
      <c r="A267" s="99" t="s">
        <v>460</v>
      </c>
      <c r="B267" s="3" cm="1">
        <f t="array" ref="B267">SUMPRODUCT((ISNUMBER(MATCH(ESTIMATE!$L$6:$L$205,A267,0)))*(ESTIMATE!$M$6:$M$205)*(ESTIMATE!$A$6:$A$205))</f>
        <v>0</v>
      </c>
      <c r="C267" s="100">
        <v>7.93</v>
      </c>
      <c r="D267" s="97">
        <f t="shared" si="4"/>
        <v>0</v>
      </c>
    </row>
    <row r="268" spans="1:4" ht="15">
      <c r="A268" s="99" t="s">
        <v>461</v>
      </c>
      <c r="B268" s="3" cm="1">
        <f t="array" ref="B268">SUMPRODUCT((ISNUMBER(MATCH(ESTIMATE!$L$6:$L$205,A268,0)))*(ESTIMATE!$M$6:$M$205)*(ESTIMATE!$A$6:$A$205))</f>
        <v>0</v>
      </c>
      <c r="C268" s="100">
        <v>8.0500000000000007</v>
      </c>
      <c r="D268" s="97">
        <f t="shared" si="4"/>
        <v>0</v>
      </c>
    </row>
    <row r="269" spans="1:4" ht="15">
      <c r="A269" s="99" t="s">
        <v>462</v>
      </c>
      <c r="B269" s="3" cm="1">
        <f t="array" ref="B269">SUMPRODUCT((ISNUMBER(MATCH(ESTIMATE!$L$6:$L$205,A269,0)))*(ESTIMATE!$M$6:$M$205)*(ESTIMATE!$A$6:$A$205))</f>
        <v>0</v>
      </c>
      <c r="C269" s="100">
        <v>8.1999999999999993</v>
      </c>
      <c r="D269" s="97">
        <f t="shared" si="4"/>
        <v>0</v>
      </c>
    </row>
    <row r="270" spans="1:4" ht="15">
      <c r="A270" s="99" t="s">
        <v>463</v>
      </c>
      <c r="B270" s="3" cm="1">
        <f t="array" ref="B270">SUMPRODUCT((ISNUMBER(MATCH(ESTIMATE!$L$6:$L$205,A270,0)))*(ESTIMATE!$M$6:$M$205)*(ESTIMATE!$A$6:$A$205))</f>
        <v>0</v>
      </c>
      <c r="C270" s="100">
        <v>8.58</v>
      </c>
      <c r="D270" s="97">
        <f t="shared" si="4"/>
        <v>0</v>
      </c>
    </row>
    <row r="271" spans="1:4" ht="15">
      <c r="A271" s="99" t="s">
        <v>464</v>
      </c>
      <c r="B271" s="3" cm="1">
        <f t="array" ref="B271">SUMPRODUCT((ISNUMBER(MATCH(ESTIMATE!$L$6:$L$205,A271,0)))*(ESTIMATE!$M$6:$M$205)*(ESTIMATE!$A$6:$A$205))</f>
        <v>0</v>
      </c>
      <c r="C271" s="100">
        <v>8.68</v>
      </c>
      <c r="D271" s="97">
        <f t="shared" si="4"/>
        <v>0</v>
      </c>
    </row>
    <row r="272" spans="1:4" ht="15">
      <c r="A272" s="99" t="s">
        <v>465</v>
      </c>
      <c r="B272" s="3" cm="1">
        <f t="array" ref="B272">SUMPRODUCT((ISNUMBER(MATCH(ESTIMATE!$L$6:$L$205,A272,0)))*(ESTIMATE!$M$6:$M$205)*(ESTIMATE!$A$6:$A$205))</f>
        <v>0</v>
      </c>
      <c r="C272" s="100">
        <v>8.8000000000000007</v>
      </c>
      <c r="D272" s="97">
        <f t="shared" si="4"/>
        <v>0</v>
      </c>
    </row>
    <row r="273" spans="1:4" ht="15">
      <c r="A273" s="99" t="s">
        <v>466</v>
      </c>
      <c r="B273" s="3" cm="1">
        <f t="array" ref="B273">SUMPRODUCT((ISNUMBER(MATCH(ESTIMATE!$L$6:$L$205,A273,0)))*(ESTIMATE!$M$6:$M$205)*(ESTIMATE!$A$6:$A$205))</f>
        <v>0</v>
      </c>
      <c r="C273" s="100">
        <v>8.9499999999999993</v>
      </c>
      <c r="D273" s="97">
        <f t="shared" si="4"/>
        <v>0</v>
      </c>
    </row>
    <row r="274" spans="1:4" ht="15">
      <c r="A274" s="99" t="s">
        <v>467</v>
      </c>
      <c r="B274" s="3" cm="1">
        <f t="array" ref="B274">SUMPRODUCT((ISNUMBER(MATCH(ESTIMATE!$L$6:$L$205,A274,0)))*(ESTIMATE!$M$6:$M$205)*(ESTIMATE!$A$6:$A$205))</f>
        <v>0</v>
      </c>
      <c r="C274" s="100">
        <v>9.1199999999999992</v>
      </c>
      <c r="D274" s="97">
        <f t="shared" si="4"/>
        <v>0</v>
      </c>
    </row>
    <row r="275" spans="1:4" ht="15">
      <c r="A275" s="99" t="s">
        <v>468</v>
      </c>
      <c r="B275" s="3" cm="1">
        <f t="array" ref="B275">SUMPRODUCT((ISNUMBER(MATCH(ESTIMATE!$L$6:$L$205,A275,0)))*(ESTIMATE!$M$6:$M$205)*(ESTIMATE!$A$6:$A$205))</f>
        <v>0</v>
      </c>
      <c r="C275" s="100">
        <v>9.2200000000000006</v>
      </c>
      <c r="D275" s="97">
        <f t="shared" si="4"/>
        <v>0</v>
      </c>
    </row>
    <row r="276" spans="1:4" ht="15">
      <c r="A276" s="99" t="s">
        <v>469</v>
      </c>
      <c r="B276" s="3" cm="1">
        <f t="array" ref="B276">SUMPRODUCT((ISNUMBER(MATCH(ESTIMATE!$L$6:$L$205,A276,0)))*(ESTIMATE!$M$6:$M$205)*(ESTIMATE!$A$6:$A$205))</f>
        <v>0</v>
      </c>
      <c r="C276" s="100">
        <v>9.4</v>
      </c>
      <c r="D276" s="97">
        <f t="shared" si="4"/>
        <v>0</v>
      </c>
    </row>
    <row r="277" spans="1:4" ht="15">
      <c r="A277" s="99" t="s">
        <v>470</v>
      </c>
      <c r="B277" s="3" cm="1">
        <f t="array" ref="B277">SUMPRODUCT((ISNUMBER(MATCH(ESTIMATE!$L$6:$L$205,A277,0)))*(ESTIMATE!$M$6:$M$205)*(ESTIMATE!$A$6:$A$205))</f>
        <v>0</v>
      </c>
      <c r="C277" s="100">
        <v>9.4700000000000006</v>
      </c>
      <c r="D277" s="97">
        <f t="shared" si="4"/>
        <v>0</v>
      </c>
    </row>
    <row r="278" spans="1:4" ht="15">
      <c r="A278" s="99" t="s">
        <v>471</v>
      </c>
      <c r="B278" s="3" cm="1">
        <f t="array" ref="B278">SUMPRODUCT((ISNUMBER(MATCH(ESTIMATE!$L$6:$L$205,A278,0)))*(ESTIMATE!$M$6:$M$205)*(ESTIMATE!$A$6:$A$205))</f>
        <v>0</v>
      </c>
      <c r="C278" s="100">
        <v>9.58</v>
      </c>
      <c r="D278" s="97">
        <f t="shared" si="4"/>
        <v>0</v>
      </c>
    </row>
    <row r="279" spans="1:4" ht="15">
      <c r="A279" s="99" t="s">
        <v>472</v>
      </c>
      <c r="B279" s="3" cm="1">
        <f t="array" ref="B279">SUMPRODUCT((ISNUMBER(MATCH(ESTIMATE!$L$6:$L$205,A279,0)))*(ESTIMATE!$M$6:$M$205)*(ESTIMATE!$A$6:$A$205))</f>
        <v>0</v>
      </c>
      <c r="C279" s="100">
        <v>9.65</v>
      </c>
      <c r="D279" s="97">
        <f t="shared" si="4"/>
        <v>0</v>
      </c>
    </row>
    <row r="280" spans="1:4" ht="15">
      <c r="A280" s="99" t="s">
        <v>473</v>
      </c>
      <c r="B280" s="3" cm="1">
        <f t="array" ref="B280">SUMPRODUCT((ISNUMBER(MATCH(ESTIMATE!$L$6:$L$205,A280,0)))*(ESTIMATE!$M$6:$M$205)*(ESTIMATE!$A$6:$A$205))</f>
        <v>0</v>
      </c>
      <c r="C280" s="100">
        <v>9.77</v>
      </c>
      <c r="D280" s="97">
        <f t="shared" si="4"/>
        <v>0</v>
      </c>
    </row>
    <row r="281" spans="1:4" ht="15">
      <c r="A281" s="99" t="s">
        <v>474</v>
      </c>
      <c r="B281" s="3" cm="1">
        <f t="array" ref="B281">SUMPRODUCT((ISNUMBER(MATCH(ESTIMATE!$L$6:$L$205,A281,0)))*(ESTIMATE!$M$6:$M$205)*(ESTIMATE!$A$6:$A$205))</f>
        <v>0</v>
      </c>
      <c r="C281" s="100">
        <v>9.8800000000000008</v>
      </c>
      <c r="D281" s="97">
        <f t="shared" si="4"/>
        <v>0</v>
      </c>
    </row>
    <row r="282" spans="1:4" ht="15">
      <c r="A282" s="99" t="s">
        <v>475</v>
      </c>
      <c r="B282" s="3" cm="1">
        <f t="array" ref="B282">SUMPRODUCT((ISNUMBER(MATCH(ESTIMATE!$L$6:$L$205,A282,0)))*(ESTIMATE!$M$6:$M$205)*(ESTIMATE!$A$6:$A$205))</f>
        <v>0</v>
      </c>
      <c r="C282" s="100">
        <v>10</v>
      </c>
      <c r="D282" s="97">
        <f t="shared" si="4"/>
        <v>0</v>
      </c>
    </row>
    <row r="283" spans="1:4" ht="15">
      <c r="A283" s="99" t="s">
        <v>476</v>
      </c>
      <c r="B283" s="3" cm="1">
        <f t="array" ref="B283">SUMPRODUCT((ISNUMBER(MATCH(ESTIMATE!$L$6:$L$205,A283,0)))*(ESTIMATE!$M$6:$M$205)*(ESTIMATE!$A$6:$A$205))</f>
        <v>0</v>
      </c>
      <c r="C283" s="100">
        <v>10.029999999999999</v>
      </c>
      <c r="D283" s="97">
        <f t="shared" si="4"/>
        <v>0</v>
      </c>
    </row>
    <row r="284" spans="1:4" ht="15">
      <c r="A284" s="99" t="s">
        <v>477</v>
      </c>
      <c r="B284" s="3" cm="1">
        <f t="array" ref="B284">SUMPRODUCT((ISNUMBER(MATCH(ESTIMATE!$L$6:$L$205,A284,0)))*(ESTIMATE!$M$6:$M$205)*(ESTIMATE!$A$6:$A$205))</f>
        <v>0</v>
      </c>
      <c r="C284" s="100">
        <v>10.199999999999999</v>
      </c>
      <c r="D284" s="97">
        <f t="shared" si="4"/>
        <v>0</v>
      </c>
    </row>
    <row r="285" spans="1:4" ht="15">
      <c r="A285" s="99" t="s">
        <v>478</v>
      </c>
      <c r="B285" s="3" cm="1">
        <f t="array" ref="B285">SUMPRODUCT((ISNUMBER(MATCH(ESTIMATE!$L$6:$L$205,A285,0)))*(ESTIMATE!$M$6:$M$205)*(ESTIMATE!$A$6:$A$205))</f>
        <v>0</v>
      </c>
      <c r="C285" s="100">
        <v>10.3</v>
      </c>
      <c r="D285" s="97">
        <f t="shared" si="4"/>
        <v>0</v>
      </c>
    </row>
    <row r="286" spans="1:4" ht="15">
      <c r="A286" s="99" t="s">
        <v>479</v>
      </c>
      <c r="B286" s="3" cm="1">
        <f t="array" ref="B286">SUMPRODUCT((ISNUMBER(MATCH(ESTIMATE!$L$6:$L$205,A286,0)))*(ESTIMATE!$M$6:$M$205)*(ESTIMATE!$A$6:$A$205))</f>
        <v>0</v>
      </c>
      <c r="C286" s="100">
        <v>10.4</v>
      </c>
      <c r="D286" s="97">
        <f t="shared" si="4"/>
        <v>0</v>
      </c>
    </row>
    <row r="287" spans="1:4" ht="15">
      <c r="A287" s="99" t="s">
        <v>480</v>
      </c>
      <c r="B287" s="3" cm="1">
        <f t="array" ref="B287">SUMPRODUCT((ISNUMBER(MATCH(ESTIMATE!$L$6:$L$205,A287,0)))*(ESTIMATE!$M$6:$M$205)*(ESTIMATE!$A$6:$A$205))</f>
        <v>0</v>
      </c>
      <c r="C287" s="100">
        <v>10.57</v>
      </c>
      <c r="D287" s="97">
        <f t="shared" si="4"/>
        <v>0</v>
      </c>
    </row>
    <row r="288" spans="1:4" ht="15">
      <c r="A288" s="99" t="s">
        <v>481</v>
      </c>
      <c r="B288" s="3" cm="1">
        <f t="array" ref="B288">SUMPRODUCT((ISNUMBER(MATCH(ESTIMATE!$L$6:$L$205,A288,0)))*(ESTIMATE!$M$6:$M$205)*(ESTIMATE!$A$6:$A$205))</f>
        <v>0</v>
      </c>
      <c r="C288" s="100">
        <v>10.67</v>
      </c>
      <c r="D288" s="97">
        <f t="shared" si="4"/>
        <v>0</v>
      </c>
    </row>
    <row r="289" spans="1:4" ht="15">
      <c r="A289" s="99" t="s">
        <v>482</v>
      </c>
      <c r="B289" s="3" cm="1">
        <f t="array" ref="B289">SUMPRODUCT((ISNUMBER(MATCH(ESTIMATE!$L$6:$L$205,A289,0)))*(ESTIMATE!$M$6:$M$205)*(ESTIMATE!$A$6:$A$205))</f>
        <v>0</v>
      </c>
      <c r="C289" s="100">
        <v>10.78</v>
      </c>
      <c r="D289" s="97">
        <f t="shared" si="4"/>
        <v>0</v>
      </c>
    </row>
    <row r="290" spans="1:4" ht="15">
      <c r="A290" s="99" t="s">
        <v>483</v>
      </c>
      <c r="B290" s="3" cm="1">
        <f t="array" ref="B290">SUMPRODUCT((ISNUMBER(MATCH(ESTIMATE!$L$6:$L$205,A290,0)))*(ESTIMATE!$M$6:$M$205)*(ESTIMATE!$A$6:$A$205))</f>
        <v>0</v>
      </c>
      <c r="C290" s="100">
        <v>10.9</v>
      </c>
      <c r="D290" s="97">
        <f t="shared" si="4"/>
        <v>0</v>
      </c>
    </row>
    <row r="291" spans="1:4" ht="15">
      <c r="A291" s="99" t="s">
        <v>484</v>
      </c>
      <c r="B291" s="3" cm="1">
        <f t="array" ref="B291">SUMPRODUCT((ISNUMBER(MATCH(ESTIMATE!$L$6:$L$205,A291,0)))*(ESTIMATE!$M$6:$M$205)*(ESTIMATE!$A$6:$A$205))</f>
        <v>0</v>
      </c>
      <c r="C291" s="100">
        <v>11.02</v>
      </c>
      <c r="D291" s="97">
        <f t="shared" si="4"/>
        <v>0</v>
      </c>
    </row>
    <row r="292" spans="1:4" ht="15">
      <c r="A292" s="99" t="s">
        <v>485</v>
      </c>
      <c r="B292" s="3" cm="1">
        <f t="array" ref="B292">SUMPRODUCT((ISNUMBER(MATCH(ESTIMATE!$L$6:$L$205,A292,0)))*(ESTIMATE!$M$6:$M$205)*(ESTIMATE!$A$6:$A$205))</f>
        <v>0</v>
      </c>
      <c r="C292" s="100">
        <v>11.2</v>
      </c>
      <c r="D292" s="97">
        <f t="shared" si="4"/>
        <v>0</v>
      </c>
    </row>
    <row r="293" spans="1:4" ht="15">
      <c r="A293" s="99" t="s">
        <v>486</v>
      </c>
      <c r="B293" s="3" cm="1">
        <f t="array" ref="B293">SUMPRODUCT((ISNUMBER(MATCH(ESTIMATE!$L$6:$L$205,A293,0)))*(ESTIMATE!$M$6:$M$205)*(ESTIMATE!$A$6:$A$205))</f>
        <v>0</v>
      </c>
      <c r="C293" s="100">
        <v>11.27</v>
      </c>
      <c r="D293" s="97">
        <f t="shared" si="4"/>
        <v>0</v>
      </c>
    </row>
    <row r="294" spans="1:4" ht="15">
      <c r="A294" s="99" t="s">
        <v>487</v>
      </c>
      <c r="B294" s="3" cm="1">
        <f t="array" ref="B294">SUMPRODUCT((ISNUMBER(MATCH(ESTIMATE!$L$6:$L$205,A294,0)))*(ESTIMATE!$M$6:$M$205)*(ESTIMATE!$A$6:$A$205))</f>
        <v>0</v>
      </c>
      <c r="C294" s="100">
        <v>11.45</v>
      </c>
      <c r="D294" s="97">
        <f t="shared" si="4"/>
        <v>0</v>
      </c>
    </row>
    <row r="295" spans="1:4" ht="15">
      <c r="A295" s="99" t="s">
        <v>488</v>
      </c>
      <c r="B295" s="3" cm="1">
        <f t="array" ref="B295">SUMPRODUCT((ISNUMBER(MATCH(ESTIMATE!$L$6:$L$205,A295,0)))*(ESTIMATE!$M$6:$M$205)*(ESTIMATE!$A$6:$A$205))</f>
        <v>0</v>
      </c>
      <c r="C295" s="100">
        <v>11.53</v>
      </c>
      <c r="D295" s="97">
        <f t="shared" si="4"/>
        <v>0</v>
      </c>
    </row>
    <row r="296" spans="1:4" ht="15">
      <c r="A296" s="99" t="s">
        <v>489</v>
      </c>
      <c r="B296" s="3" cm="1">
        <f t="array" ref="B296">SUMPRODUCT((ISNUMBER(MATCH(ESTIMATE!$L$6:$L$205,A296,0)))*(ESTIMATE!$M$6:$M$205)*(ESTIMATE!$A$6:$A$205))</f>
        <v>0</v>
      </c>
      <c r="C296" s="100">
        <v>11.72</v>
      </c>
      <c r="D296" s="97">
        <f t="shared" si="4"/>
        <v>0</v>
      </c>
    </row>
    <row r="297" spans="1:4" ht="15">
      <c r="A297" s="99" t="s">
        <v>490</v>
      </c>
      <c r="B297" s="3" cm="1">
        <f t="array" ref="B297">SUMPRODUCT((ISNUMBER(MATCH(ESTIMATE!$L$6:$L$205,A297,0)))*(ESTIMATE!$M$6:$M$205)*(ESTIMATE!$A$6:$A$205))</f>
        <v>0</v>
      </c>
      <c r="C297" s="100">
        <v>11.8</v>
      </c>
      <c r="D297" s="97">
        <f t="shared" si="4"/>
        <v>0</v>
      </c>
    </row>
    <row r="298" spans="1:4" ht="15">
      <c r="A298" s="99" t="s">
        <v>491</v>
      </c>
      <c r="B298" s="3" cm="1">
        <f t="array" ref="B298">SUMPRODUCT((ISNUMBER(MATCH(ESTIMATE!$L$6:$L$205,A298,0)))*(ESTIMATE!$M$6:$M$205)*(ESTIMATE!$A$6:$A$205))</f>
        <v>0</v>
      </c>
      <c r="C298" s="100">
        <v>11.98</v>
      </c>
      <c r="D298" s="97">
        <f t="shared" si="4"/>
        <v>0</v>
      </c>
    </row>
    <row r="299" spans="1:4" ht="15">
      <c r="A299" s="99" t="s">
        <v>492</v>
      </c>
      <c r="B299" s="3" cm="1">
        <f t="array" ref="B299">SUMPRODUCT((ISNUMBER(MATCH(ESTIMATE!$L$6:$L$205,A299,0)))*(ESTIMATE!$M$6:$M$205)*(ESTIMATE!$A$6:$A$205))</f>
        <v>0</v>
      </c>
      <c r="C299" s="100">
        <v>12.07</v>
      </c>
      <c r="D299" s="97">
        <f t="shared" si="4"/>
        <v>0</v>
      </c>
    </row>
    <row r="300" spans="1:4" ht="15">
      <c r="A300" s="99" t="s">
        <v>493</v>
      </c>
      <c r="B300" s="3" cm="1">
        <f t="array" ref="B300">SUMPRODUCT((ISNUMBER(MATCH(ESTIMATE!$L$6:$L$205,A300,0)))*(ESTIMATE!$M$6:$M$205)*(ESTIMATE!$A$6:$A$205))</f>
        <v>0</v>
      </c>
      <c r="C300" s="100">
        <v>12.25</v>
      </c>
      <c r="D300" s="97">
        <f t="shared" si="4"/>
        <v>0</v>
      </c>
    </row>
    <row r="301" spans="1:4" ht="15">
      <c r="A301" s="99" t="s">
        <v>494</v>
      </c>
      <c r="B301" s="3" cm="1">
        <f t="array" ref="B301">SUMPRODUCT((ISNUMBER(MATCH(ESTIMATE!$L$6:$L$205,A301,0)))*(ESTIMATE!$M$6:$M$205)*(ESTIMATE!$A$6:$A$205))</f>
        <v>0</v>
      </c>
      <c r="C301" s="100">
        <v>12.33</v>
      </c>
      <c r="D301" s="97">
        <f t="shared" si="4"/>
        <v>0</v>
      </c>
    </row>
    <row r="302" spans="1:4" ht="15">
      <c r="A302" s="99" t="s">
        <v>495</v>
      </c>
      <c r="B302" s="3" cm="1">
        <f t="array" ref="B302">SUMPRODUCT((ISNUMBER(MATCH(ESTIMATE!$L$6:$L$205,A302,0)))*(ESTIMATE!$M$6:$M$205)*(ESTIMATE!$A$6:$A$205))</f>
        <v>0</v>
      </c>
      <c r="C302" s="100">
        <v>12.62</v>
      </c>
      <c r="D302" s="97">
        <f t="shared" si="4"/>
        <v>0</v>
      </c>
    </row>
    <row r="303" spans="1:4" ht="15">
      <c r="A303" s="99" t="s">
        <v>496</v>
      </c>
      <c r="B303" s="3" cm="1">
        <f t="array" ref="B303">SUMPRODUCT((ISNUMBER(MATCH(ESTIMATE!$L$6:$L$205,A303,0)))*(ESTIMATE!$M$6:$M$205)*(ESTIMATE!$A$6:$A$205))</f>
        <v>0</v>
      </c>
      <c r="C303" s="100">
        <v>12.87</v>
      </c>
      <c r="D303" s="97">
        <f t="shared" si="4"/>
        <v>0</v>
      </c>
    </row>
    <row r="304" spans="1:4" ht="15">
      <c r="A304" s="99" t="s">
        <v>497</v>
      </c>
      <c r="B304" s="3" cm="1">
        <f t="array" ref="B304">SUMPRODUCT((ISNUMBER(MATCH(ESTIMATE!$L$6:$L$205,A304,0)))*(ESTIMATE!$M$6:$M$205)*(ESTIMATE!$A$6:$A$205))</f>
        <v>0</v>
      </c>
      <c r="C304" s="100">
        <v>12.98</v>
      </c>
      <c r="D304" s="97">
        <f t="shared" si="4"/>
        <v>0</v>
      </c>
    </row>
    <row r="305" spans="1:4" ht="15">
      <c r="A305" s="99" t="s">
        <v>498</v>
      </c>
      <c r="B305" s="3" cm="1">
        <f t="array" ref="B305">SUMPRODUCT((ISNUMBER(MATCH(ESTIMATE!$L$6:$L$205,A305,0)))*(ESTIMATE!$M$6:$M$205)*(ESTIMATE!$A$6:$A$205))</f>
        <v>0</v>
      </c>
      <c r="C305" s="100">
        <v>13.17</v>
      </c>
      <c r="D305" s="97">
        <f t="shared" si="4"/>
        <v>0</v>
      </c>
    </row>
    <row r="306" spans="1:4" ht="15">
      <c r="A306" s="99" t="s">
        <v>499</v>
      </c>
      <c r="B306" s="3" cm="1">
        <f t="array" ref="B306">SUMPRODUCT((ISNUMBER(MATCH(ESTIMATE!$L$6:$L$205,A306,0)))*(ESTIMATE!$M$6:$M$205)*(ESTIMATE!$A$6:$A$205))</f>
        <v>0</v>
      </c>
      <c r="C306" s="100">
        <v>13.23</v>
      </c>
      <c r="D306" s="97">
        <f t="shared" si="4"/>
        <v>0</v>
      </c>
    </row>
    <row r="307" spans="1:4" ht="15">
      <c r="A307" s="99" t="s">
        <v>500</v>
      </c>
      <c r="B307" s="3" cm="1">
        <f t="array" ref="B307">SUMPRODUCT((ISNUMBER(MATCH(ESTIMATE!$L$6:$L$205,A307,0)))*(ESTIMATE!$M$6:$M$205)*(ESTIMATE!$A$6:$A$205))</f>
        <v>0</v>
      </c>
      <c r="C307" s="100">
        <v>13.32</v>
      </c>
      <c r="D307" s="97">
        <f t="shared" si="4"/>
        <v>0</v>
      </c>
    </row>
    <row r="308" spans="1:4" ht="15">
      <c r="A308" s="99" t="s">
        <v>501</v>
      </c>
      <c r="B308" s="3" cm="1">
        <f t="array" ref="B308">SUMPRODUCT((ISNUMBER(MATCH(ESTIMATE!$L$6:$L$205,A308,0)))*(ESTIMATE!$M$6:$M$205)*(ESTIMATE!$A$6:$A$205))</f>
        <v>0</v>
      </c>
      <c r="C308" s="100">
        <v>13.4</v>
      </c>
      <c r="D308" s="97">
        <f t="shared" si="4"/>
        <v>0</v>
      </c>
    </row>
    <row r="309" spans="1:4" ht="15">
      <c r="A309" s="99" t="s">
        <v>502</v>
      </c>
      <c r="B309" s="3" cm="1">
        <f t="array" ref="B309">SUMPRODUCT((ISNUMBER(MATCH(ESTIMATE!$L$6:$L$205,A309,0)))*(ESTIMATE!$M$6:$M$205)*(ESTIMATE!$A$6:$A$205))</f>
        <v>0</v>
      </c>
      <c r="C309" s="100">
        <v>13.77</v>
      </c>
      <c r="D309" s="97">
        <f t="shared" si="4"/>
        <v>0</v>
      </c>
    </row>
    <row r="310" spans="1:4" ht="15">
      <c r="A310" s="99" t="s">
        <v>503</v>
      </c>
      <c r="B310" s="3" cm="1">
        <f t="array" ref="B310">SUMPRODUCT((ISNUMBER(MATCH(ESTIMATE!$L$6:$L$205,A310,0)))*(ESTIMATE!$M$6:$M$205)*(ESTIMATE!$A$6:$A$205))</f>
        <v>0</v>
      </c>
      <c r="C310" s="100">
        <v>13.95</v>
      </c>
      <c r="D310" s="97">
        <f t="shared" si="4"/>
        <v>0</v>
      </c>
    </row>
    <row r="311" spans="1:4" ht="15">
      <c r="A311" s="99" t="s">
        <v>504</v>
      </c>
      <c r="B311" s="3" cm="1">
        <f t="array" ref="B311">SUMPRODUCT((ISNUMBER(MATCH(ESTIMATE!$L$6:$L$205,A311,0)))*(ESTIMATE!$M$6:$M$205)*(ESTIMATE!$A$6:$A$205))</f>
        <v>0</v>
      </c>
      <c r="C311" s="100">
        <v>14.05</v>
      </c>
      <c r="D311" s="97">
        <f t="shared" si="4"/>
        <v>0</v>
      </c>
    </row>
    <row r="312" spans="1:4" ht="15">
      <c r="A312" s="99" t="s">
        <v>505</v>
      </c>
      <c r="B312" s="3" cm="1">
        <f t="array" ref="B312">SUMPRODUCT((ISNUMBER(MATCH(ESTIMATE!$L$6:$L$205,A312,0)))*(ESTIMATE!$M$6:$M$205)*(ESTIMATE!$A$6:$A$205))</f>
        <v>0</v>
      </c>
      <c r="C312" s="100">
        <v>14.23</v>
      </c>
      <c r="D312" s="97">
        <f t="shared" si="4"/>
        <v>0</v>
      </c>
    </row>
    <row r="313" spans="1:4" ht="15">
      <c r="A313" s="99" t="s">
        <v>506</v>
      </c>
      <c r="B313" s="3" cm="1">
        <f t="array" ref="B313">SUMPRODUCT((ISNUMBER(MATCH(ESTIMATE!$L$6:$L$205,A313,0)))*(ESTIMATE!$M$6:$M$205)*(ESTIMATE!$A$6:$A$205))</f>
        <v>0</v>
      </c>
      <c r="C313" s="100">
        <v>14.48</v>
      </c>
      <c r="D313" s="97">
        <f t="shared" si="4"/>
        <v>0</v>
      </c>
    </row>
    <row r="314" spans="1:4" ht="15">
      <c r="A314" s="99" t="s">
        <v>507</v>
      </c>
      <c r="B314" s="3" cm="1">
        <f t="array" ref="B314">SUMPRODUCT((ISNUMBER(MATCH(ESTIMATE!$L$6:$L$205,A314,0)))*(ESTIMATE!$M$6:$M$205)*(ESTIMATE!$A$6:$A$205))</f>
        <v>0</v>
      </c>
      <c r="C314" s="100">
        <v>14.65</v>
      </c>
      <c r="D314" s="97">
        <f t="shared" si="4"/>
        <v>0</v>
      </c>
    </row>
    <row r="315" spans="1:4" ht="15">
      <c r="A315" s="99" t="s">
        <v>508</v>
      </c>
      <c r="B315" s="3" cm="1">
        <f t="array" ref="B315">SUMPRODUCT((ISNUMBER(MATCH(ESTIMATE!$L$6:$L$205,A315,0)))*(ESTIMATE!$M$6:$M$205)*(ESTIMATE!$A$6:$A$205))</f>
        <v>0</v>
      </c>
      <c r="C315" s="100">
        <v>14.83</v>
      </c>
      <c r="D315" s="97">
        <f t="shared" si="4"/>
        <v>0</v>
      </c>
    </row>
    <row r="316" spans="1:4" ht="15">
      <c r="A316" s="99" t="s">
        <v>509</v>
      </c>
      <c r="B316" s="3" cm="1">
        <f t="array" ref="B316">SUMPRODUCT((ISNUMBER(MATCH(ESTIMATE!$L$6:$L$205,A316,0)))*(ESTIMATE!$M$6:$M$205)*(ESTIMATE!$A$6:$A$205))</f>
        <v>0</v>
      </c>
      <c r="C316" s="100">
        <v>15.18</v>
      </c>
      <c r="D316" s="97">
        <f t="shared" si="4"/>
        <v>0</v>
      </c>
    </row>
    <row r="317" spans="1:4" ht="15">
      <c r="A317" s="99" t="s">
        <v>510</v>
      </c>
      <c r="B317" s="3" cm="1">
        <f t="array" ref="B317">SUMPRODUCT((ISNUMBER(MATCH(ESTIMATE!$L$6:$L$205,A317,0)))*(ESTIMATE!$M$6:$M$205)*(ESTIMATE!$A$6:$A$205))</f>
        <v>0</v>
      </c>
      <c r="C317" s="100">
        <v>15.37</v>
      </c>
      <c r="D317" s="97">
        <f t="shared" si="4"/>
        <v>0</v>
      </c>
    </row>
    <row r="318" spans="1:4" ht="15">
      <c r="A318" s="99" t="s">
        <v>511</v>
      </c>
      <c r="B318" s="3" cm="1">
        <f t="array" ref="B318">SUMPRODUCT((ISNUMBER(MATCH(ESTIMATE!$L$6:$L$205,A318,0)))*(ESTIMATE!$M$6:$M$205)*(ESTIMATE!$A$6:$A$205))</f>
        <v>0</v>
      </c>
      <c r="C318" s="100">
        <v>15.55</v>
      </c>
      <c r="D318" s="97">
        <f t="shared" si="4"/>
        <v>0</v>
      </c>
    </row>
    <row r="319" spans="1:4" ht="15">
      <c r="A319" s="99" t="s">
        <v>512</v>
      </c>
      <c r="B319" s="3" cm="1">
        <f t="array" ref="B319">SUMPRODUCT((ISNUMBER(MATCH(ESTIMATE!$L$6:$L$205,A319,0)))*(ESTIMATE!$M$6:$M$205)*(ESTIMATE!$A$6:$A$205))</f>
        <v>0</v>
      </c>
      <c r="C319" s="100">
        <v>15.88</v>
      </c>
      <c r="D319" s="97">
        <f t="shared" si="4"/>
        <v>0</v>
      </c>
    </row>
    <row r="320" spans="1:4" ht="15">
      <c r="A320" s="99" t="s">
        <v>513</v>
      </c>
      <c r="B320" s="3" cm="1">
        <f t="array" ref="B320">SUMPRODUCT((ISNUMBER(MATCH(ESTIMATE!$L$6:$L$205,A320,0)))*(ESTIMATE!$M$6:$M$205)*(ESTIMATE!$A$6:$A$205))</f>
        <v>0</v>
      </c>
      <c r="C320" s="100">
        <v>15.92</v>
      </c>
      <c r="D320" s="97">
        <f t="shared" si="4"/>
        <v>0</v>
      </c>
    </row>
    <row r="321" spans="1:4" ht="15">
      <c r="A321" s="99" t="s">
        <v>1245</v>
      </c>
      <c r="B321" s="3" cm="1">
        <f t="array" ref="B321">SUMPRODUCT((ISNUMBER(MATCH(ESTIMATE!$L$6:$L$205,A321,0)))*(ESTIMATE!$M$6:$M$205)*(ESTIMATE!$A$6:$A$205))</f>
        <v>0</v>
      </c>
      <c r="C321" s="100">
        <v>16.100000000000001</v>
      </c>
      <c r="D321" s="97">
        <f t="shared" si="4"/>
        <v>0</v>
      </c>
    </row>
    <row r="322" spans="1:4" ht="15">
      <c r="A322" s="99" t="s">
        <v>514</v>
      </c>
      <c r="B322" s="3" cm="1">
        <f t="array" ref="B322">SUMPRODUCT((ISNUMBER(MATCH(ESTIMATE!$L$6:$L$205,A322,0)))*(ESTIMATE!$M$6:$M$205)*(ESTIMATE!$A$6:$A$205))</f>
        <v>0</v>
      </c>
      <c r="C322" s="100">
        <v>16.43</v>
      </c>
      <c r="D322" s="97">
        <f t="shared" si="4"/>
        <v>0</v>
      </c>
    </row>
    <row r="323" spans="1:4" ht="15">
      <c r="A323" s="99" t="s">
        <v>515</v>
      </c>
      <c r="B323" s="3" cm="1">
        <f t="array" ref="B323">SUMPRODUCT((ISNUMBER(MATCH(ESTIMATE!$L$6:$L$205,A323,0)))*(ESTIMATE!$M$6:$M$205)*(ESTIMATE!$A$6:$A$205))</f>
        <v>0</v>
      </c>
      <c r="C323" s="100">
        <v>16.63</v>
      </c>
      <c r="D323" s="97">
        <f t="shared" ref="D323:D386" si="5">SUM(B323*C323)</f>
        <v>0</v>
      </c>
    </row>
    <row r="324" spans="1:4" ht="15">
      <c r="A324" s="99" t="s">
        <v>516</v>
      </c>
      <c r="B324" s="3" cm="1">
        <f t="array" ref="B324">SUMPRODUCT((ISNUMBER(MATCH(ESTIMATE!$L$6:$L$205,A324,0)))*(ESTIMATE!$M$6:$M$205)*(ESTIMATE!$A$6:$A$205))</f>
        <v>0</v>
      </c>
      <c r="C324" s="100">
        <v>16.88</v>
      </c>
      <c r="D324" s="97">
        <f t="shared" si="5"/>
        <v>0</v>
      </c>
    </row>
    <row r="325" spans="1:4" ht="15">
      <c r="A325" s="99" t="s">
        <v>517</v>
      </c>
      <c r="B325" s="3" cm="1">
        <f t="array" ref="B325">SUMPRODUCT((ISNUMBER(MATCH(ESTIMATE!$L$6:$L$205,A325,0)))*(ESTIMATE!$M$6:$M$205)*(ESTIMATE!$A$6:$A$205))</f>
        <v>0</v>
      </c>
      <c r="C325" s="100">
        <v>17</v>
      </c>
      <c r="D325" s="97">
        <f t="shared" si="5"/>
        <v>0</v>
      </c>
    </row>
    <row r="326" spans="1:4" ht="15">
      <c r="A326" s="99" t="s">
        <v>518</v>
      </c>
      <c r="B326" s="3" cm="1">
        <f t="array" ref="B326">SUMPRODUCT((ISNUMBER(MATCH(ESTIMATE!$L$6:$L$205,A326,0)))*(ESTIMATE!$M$6:$M$205)*(ESTIMATE!$A$6:$A$205))</f>
        <v>0</v>
      </c>
      <c r="C326" s="100">
        <v>17.170000000000002</v>
      </c>
      <c r="D326" s="97">
        <f t="shared" si="5"/>
        <v>0</v>
      </c>
    </row>
    <row r="327" spans="1:4" ht="15">
      <c r="A327" s="99" t="s">
        <v>519</v>
      </c>
      <c r="B327" s="3" cm="1">
        <f t="array" ref="B327">SUMPRODUCT((ISNUMBER(MATCH(ESTIMATE!$L$6:$L$205,A327,0)))*(ESTIMATE!$M$6:$M$205)*(ESTIMATE!$A$6:$A$205))</f>
        <v>0</v>
      </c>
      <c r="C327" s="100">
        <v>17.37</v>
      </c>
      <c r="D327" s="97">
        <f t="shared" si="5"/>
        <v>0</v>
      </c>
    </row>
    <row r="328" spans="1:4" ht="15">
      <c r="A328" s="99" t="s">
        <v>520</v>
      </c>
      <c r="B328" s="3" cm="1">
        <f t="array" ref="B328">SUMPRODUCT((ISNUMBER(MATCH(ESTIMATE!$L$6:$L$205,A328,0)))*(ESTIMATE!$M$6:$M$205)*(ESTIMATE!$A$6:$A$205))</f>
        <v>0</v>
      </c>
      <c r="C328" s="100">
        <v>17.53</v>
      </c>
      <c r="D328" s="97">
        <f t="shared" si="5"/>
        <v>0</v>
      </c>
    </row>
    <row r="329" spans="1:4" ht="15">
      <c r="A329" s="99" t="s">
        <v>521</v>
      </c>
      <c r="B329" s="3" cm="1">
        <f t="array" ref="B329">SUMPRODUCT((ISNUMBER(MATCH(ESTIMATE!$L$6:$L$205,A329,0)))*(ESTIMATE!$M$6:$M$205)*(ESTIMATE!$A$6:$A$205))</f>
        <v>0</v>
      </c>
      <c r="C329" s="100">
        <v>17.7</v>
      </c>
      <c r="D329" s="97">
        <f t="shared" si="5"/>
        <v>0</v>
      </c>
    </row>
    <row r="330" spans="1:4" ht="15">
      <c r="A330" s="99" t="s">
        <v>522</v>
      </c>
      <c r="B330" s="3" cm="1">
        <f t="array" ref="B330">SUMPRODUCT((ISNUMBER(MATCH(ESTIMATE!$L$6:$L$205,A330,0)))*(ESTIMATE!$M$6:$M$205)*(ESTIMATE!$A$6:$A$205))</f>
        <v>0</v>
      </c>
      <c r="C330" s="100">
        <v>17.88</v>
      </c>
      <c r="D330" s="97">
        <f t="shared" si="5"/>
        <v>0</v>
      </c>
    </row>
    <row r="331" spans="1:4" ht="15">
      <c r="A331" s="99" t="s">
        <v>441</v>
      </c>
      <c r="B331" s="3" cm="1">
        <f t="array" ref="B331">SUMPRODUCT((ISNUMBER(MATCH(ESTIMATE!$L$6:$L$205,A331,0)))*(ESTIMATE!$M$6:$M$205)*(ESTIMATE!$A$6:$A$205))</f>
        <v>0</v>
      </c>
      <c r="C331" s="100">
        <v>18.43</v>
      </c>
      <c r="D331" s="97">
        <f t="shared" si="5"/>
        <v>0</v>
      </c>
    </row>
    <row r="332" spans="1:4" ht="15">
      <c r="A332" s="99" t="s">
        <v>1246</v>
      </c>
      <c r="B332" s="3" cm="1">
        <f t="array" ref="B332">SUMPRODUCT((ISNUMBER(MATCH(ESTIMATE!$L$6:$L$205,A332,0)))*(ESTIMATE!$M$6:$M$205)*(ESTIMATE!$A$6:$A$205))</f>
        <v>0</v>
      </c>
      <c r="C332" s="100">
        <v>18.98</v>
      </c>
      <c r="D332" s="97">
        <f t="shared" si="5"/>
        <v>0</v>
      </c>
    </row>
    <row r="333" spans="1:4" ht="15">
      <c r="A333" s="99" t="s">
        <v>442</v>
      </c>
      <c r="B333" s="3" cm="1">
        <f t="array" ref="B333">SUMPRODUCT((ISNUMBER(MATCH(ESTIMATE!$L$6:$L$205,A333,0)))*(ESTIMATE!$M$6:$M$205)*(ESTIMATE!$A$6:$A$205))</f>
        <v>0</v>
      </c>
      <c r="C333" s="100">
        <v>19.3</v>
      </c>
      <c r="D333" s="97">
        <f t="shared" si="5"/>
        <v>0</v>
      </c>
    </row>
    <row r="334" spans="1:4" ht="15">
      <c r="A334" s="99" t="s">
        <v>443</v>
      </c>
      <c r="B334" s="3" cm="1">
        <f t="array" ref="B334">SUMPRODUCT((ISNUMBER(MATCH(ESTIMATE!$L$6:$L$205,A334,0)))*(ESTIMATE!$M$6:$M$205)*(ESTIMATE!$A$6:$A$205))</f>
        <v>0</v>
      </c>
      <c r="C334" s="100">
        <v>20.82</v>
      </c>
      <c r="D334" s="97">
        <f t="shared" si="5"/>
        <v>0</v>
      </c>
    </row>
    <row r="335" spans="1:4" ht="15">
      <c r="A335" s="99" t="s">
        <v>444</v>
      </c>
      <c r="B335" s="3" cm="1">
        <f t="array" ref="B335">SUMPRODUCT((ISNUMBER(MATCH(ESTIMATE!$L$6:$L$205,A335,0)))*(ESTIMATE!$M$6:$M$205)*(ESTIMATE!$A$6:$A$205))</f>
        <v>0</v>
      </c>
      <c r="C335" s="100">
        <v>21.45</v>
      </c>
      <c r="D335" s="97">
        <f t="shared" si="5"/>
        <v>0</v>
      </c>
    </row>
    <row r="336" spans="1:4" ht="15">
      <c r="A336" s="99" t="s">
        <v>445</v>
      </c>
      <c r="B336" s="3" cm="1">
        <f t="array" ref="B336">SUMPRODUCT((ISNUMBER(MATCH(ESTIMATE!$L$6:$L$205,A336,0)))*(ESTIMATE!$M$6:$M$205)*(ESTIMATE!$A$6:$A$205))</f>
        <v>0</v>
      </c>
      <c r="C336" s="100">
        <v>23.07</v>
      </c>
      <c r="D336" s="97">
        <f t="shared" si="5"/>
        <v>0</v>
      </c>
    </row>
    <row r="337" spans="1:4" ht="15">
      <c r="A337" s="99" t="s">
        <v>446</v>
      </c>
      <c r="B337" s="3" cm="1">
        <f t="array" ref="B337">SUMPRODUCT((ISNUMBER(MATCH(ESTIMATE!$L$6:$L$205,A337,0)))*(ESTIMATE!$M$6:$M$205)*(ESTIMATE!$A$6:$A$205))</f>
        <v>0</v>
      </c>
      <c r="C337" s="100">
        <v>24.67</v>
      </c>
      <c r="D337" s="97">
        <f t="shared" si="5"/>
        <v>0</v>
      </c>
    </row>
    <row r="338" spans="1:4" ht="15">
      <c r="A338" s="99" t="s">
        <v>1247</v>
      </c>
      <c r="B338" s="3" cm="1">
        <f t="array" ref="B338">SUMPRODUCT((ISNUMBER(MATCH(ESTIMATE!$L$6:$L$205,A338,0)))*(ESTIMATE!$M$6:$M$205)*(ESTIMATE!$A$6:$A$205))</f>
        <v>0</v>
      </c>
      <c r="C338" s="100">
        <v>5.95</v>
      </c>
      <c r="D338" s="97">
        <f t="shared" si="5"/>
        <v>0</v>
      </c>
    </row>
    <row r="339" spans="1:4" ht="15">
      <c r="A339" s="99" t="s">
        <v>1248</v>
      </c>
      <c r="B339" s="3" cm="1">
        <f t="array" ref="B339">SUMPRODUCT((ISNUMBER(MATCH(ESTIMATE!$L$6:$L$205,A339,0)))*(ESTIMATE!$M$6:$M$205)*(ESTIMATE!$A$6:$A$205))</f>
        <v>0</v>
      </c>
      <c r="C339" s="100">
        <v>5.95</v>
      </c>
      <c r="D339" s="97">
        <f t="shared" si="5"/>
        <v>0</v>
      </c>
    </row>
    <row r="340" spans="1:4" ht="15">
      <c r="A340" s="99" t="s">
        <v>1249</v>
      </c>
      <c r="B340" s="3" cm="1">
        <f t="array" ref="B340">SUMPRODUCT((ISNUMBER(MATCH(ESTIMATE!$L$6:$L$205,A340,0)))*(ESTIMATE!$M$6:$M$205)*(ESTIMATE!$A$6:$A$205))</f>
        <v>0</v>
      </c>
      <c r="C340" s="100">
        <v>6.18</v>
      </c>
      <c r="D340" s="97">
        <f t="shared" si="5"/>
        <v>0</v>
      </c>
    </row>
    <row r="341" spans="1:4" ht="15">
      <c r="A341" s="99" t="s">
        <v>553</v>
      </c>
      <c r="B341" s="3" cm="1">
        <f t="array" ref="B341">SUMPRODUCT((ISNUMBER(MATCH(ESTIMATE!$L$6:$L$205,A341,0)))*(ESTIMATE!$M$6:$M$205)*(ESTIMATE!$A$6:$A$205))</f>
        <v>0</v>
      </c>
      <c r="C341" s="100">
        <v>6.4</v>
      </c>
      <c r="D341" s="97">
        <f t="shared" si="5"/>
        <v>0</v>
      </c>
    </row>
    <row r="342" spans="1:4" ht="15">
      <c r="A342" s="99" t="s">
        <v>555</v>
      </c>
      <c r="B342" s="3" cm="1">
        <f t="array" ref="B342">SUMPRODUCT((ISNUMBER(MATCH(ESTIMATE!$L$6:$L$205,A342,0)))*(ESTIMATE!$M$6:$M$205)*(ESTIMATE!$A$6:$A$205))</f>
        <v>0</v>
      </c>
      <c r="C342" s="100">
        <v>6.63</v>
      </c>
      <c r="D342" s="97">
        <f t="shared" si="5"/>
        <v>0</v>
      </c>
    </row>
    <row r="343" spans="1:4" ht="15">
      <c r="A343" s="99" t="s">
        <v>1250</v>
      </c>
      <c r="B343" s="3" cm="1">
        <f t="array" ref="B343">SUMPRODUCT((ISNUMBER(MATCH(ESTIMATE!$L$6:$L$205,A343,0)))*(ESTIMATE!$M$6:$M$205)*(ESTIMATE!$A$6:$A$205))</f>
        <v>0</v>
      </c>
      <c r="C343" s="100">
        <v>6.87</v>
      </c>
      <c r="D343" s="97">
        <f t="shared" si="5"/>
        <v>0</v>
      </c>
    </row>
    <row r="344" spans="1:4" ht="15">
      <c r="A344" s="99" t="s">
        <v>557</v>
      </c>
      <c r="B344" s="3" cm="1">
        <f t="array" ref="B344">SUMPRODUCT((ISNUMBER(MATCH(ESTIMATE!$L$6:$L$205,A344,0)))*(ESTIMATE!$M$6:$M$205)*(ESTIMATE!$A$6:$A$205))</f>
        <v>0</v>
      </c>
      <c r="C344" s="100">
        <v>7.1</v>
      </c>
      <c r="D344" s="97">
        <f t="shared" si="5"/>
        <v>0</v>
      </c>
    </row>
    <row r="345" spans="1:4" ht="15">
      <c r="A345" s="99" t="s">
        <v>559</v>
      </c>
      <c r="B345" s="3" cm="1">
        <f t="array" ref="B345">SUMPRODUCT((ISNUMBER(MATCH(ESTIMATE!$L$6:$L$205,A345,0)))*(ESTIMATE!$M$6:$M$205)*(ESTIMATE!$A$6:$A$205))</f>
        <v>0</v>
      </c>
      <c r="C345" s="100">
        <v>7.27</v>
      </c>
      <c r="D345" s="97">
        <f t="shared" si="5"/>
        <v>0</v>
      </c>
    </row>
    <row r="346" spans="1:4" ht="15">
      <c r="A346" s="99" t="s">
        <v>560</v>
      </c>
      <c r="B346" s="3" cm="1">
        <f t="array" ref="B346">SUMPRODUCT((ISNUMBER(MATCH(ESTIMATE!$L$6:$L$205,A346,0)))*(ESTIMATE!$M$6:$M$205)*(ESTIMATE!$A$6:$A$205))</f>
        <v>0</v>
      </c>
      <c r="C346" s="100">
        <v>7.42</v>
      </c>
      <c r="D346" s="97">
        <f t="shared" si="5"/>
        <v>0</v>
      </c>
    </row>
    <row r="347" spans="1:4" ht="15">
      <c r="A347" s="99" t="s">
        <v>562</v>
      </c>
      <c r="B347" s="3" cm="1">
        <f t="array" ref="B347">SUMPRODUCT((ISNUMBER(MATCH(ESTIMATE!$L$6:$L$205,A347,0)))*(ESTIMATE!$M$6:$M$205)*(ESTIMATE!$A$6:$A$205))</f>
        <v>0</v>
      </c>
      <c r="C347" s="100">
        <v>7.57</v>
      </c>
      <c r="D347" s="97">
        <f t="shared" si="5"/>
        <v>0</v>
      </c>
    </row>
    <row r="348" spans="1:4" ht="15">
      <c r="A348" s="99" t="s">
        <v>564</v>
      </c>
      <c r="B348" s="3" cm="1">
        <f t="array" ref="B348">SUMPRODUCT((ISNUMBER(MATCH(ESTIMATE!$L$6:$L$205,A348,0)))*(ESTIMATE!$M$6:$M$205)*(ESTIMATE!$A$6:$A$205))</f>
        <v>0</v>
      </c>
      <c r="C348" s="100">
        <v>7.7</v>
      </c>
      <c r="D348" s="97">
        <f t="shared" si="5"/>
        <v>0</v>
      </c>
    </row>
    <row r="349" spans="1:4" ht="15">
      <c r="A349" s="99" t="s">
        <v>565</v>
      </c>
      <c r="B349" s="3" cm="1">
        <f t="array" ref="B349">SUMPRODUCT((ISNUMBER(MATCH(ESTIMATE!$L$6:$L$205,A349,0)))*(ESTIMATE!$M$6:$M$205)*(ESTIMATE!$A$6:$A$205))</f>
        <v>0</v>
      </c>
      <c r="C349" s="100">
        <v>7.85</v>
      </c>
      <c r="D349" s="97">
        <f t="shared" si="5"/>
        <v>0</v>
      </c>
    </row>
    <row r="350" spans="1:4" ht="15">
      <c r="A350" s="99" t="s">
        <v>566</v>
      </c>
      <c r="B350" s="3" cm="1">
        <f t="array" ref="B350">SUMPRODUCT((ISNUMBER(MATCH(ESTIMATE!$L$6:$L$205,A350,0)))*(ESTIMATE!$M$6:$M$205)*(ESTIMATE!$A$6:$A$205))</f>
        <v>0</v>
      </c>
      <c r="C350" s="100">
        <v>7.98</v>
      </c>
      <c r="D350" s="97">
        <f t="shared" si="5"/>
        <v>0</v>
      </c>
    </row>
    <row r="351" spans="1:4" ht="15">
      <c r="A351" s="99" t="s">
        <v>567</v>
      </c>
      <c r="B351" s="3" cm="1">
        <f t="array" ref="B351">SUMPRODUCT((ISNUMBER(MATCH(ESTIMATE!$L$6:$L$205,A351,0)))*(ESTIMATE!$M$6:$M$205)*(ESTIMATE!$A$6:$A$205))</f>
        <v>0</v>
      </c>
      <c r="C351" s="100">
        <v>8.15</v>
      </c>
      <c r="D351" s="97">
        <f t="shared" si="5"/>
        <v>0</v>
      </c>
    </row>
    <row r="352" spans="1:4" ht="15">
      <c r="A352" s="99" t="s">
        <v>568</v>
      </c>
      <c r="B352" s="3" cm="1">
        <f t="array" ref="B352">SUMPRODUCT((ISNUMBER(MATCH(ESTIMATE!$L$6:$L$205,A352,0)))*(ESTIMATE!$M$6:$M$205)*(ESTIMATE!$A$6:$A$205))</f>
        <v>0</v>
      </c>
      <c r="C352" s="100">
        <v>8.4</v>
      </c>
      <c r="D352" s="97">
        <f t="shared" si="5"/>
        <v>0</v>
      </c>
    </row>
    <row r="353" spans="1:4" ht="15">
      <c r="A353" s="99" t="s">
        <v>570</v>
      </c>
      <c r="B353" s="3" cm="1">
        <f t="array" ref="B353">SUMPRODUCT((ISNUMBER(MATCH(ESTIMATE!$L$6:$L$205,A353,0)))*(ESTIMATE!$M$6:$M$205)*(ESTIMATE!$A$6:$A$205))</f>
        <v>0</v>
      </c>
      <c r="C353" s="100">
        <v>8.68</v>
      </c>
      <c r="D353" s="97">
        <f t="shared" si="5"/>
        <v>0</v>
      </c>
    </row>
    <row r="354" spans="1:4" ht="15">
      <c r="A354" s="99" t="s">
        <v>571</v>
      </c>
      <c r="B354" s="3" cm="1">
        <f t="array" ref="B354">SUMPRODUCT((ISNUMBER(MATCH(ESTIMATE!$L$6:$L$205,A354,0)))*(ESTIMATE!$M$6:$M$205)*(ESTIMATE!$A$6:$A$205))</f>
        <v>0</v>
      </c>
      <c r="C354" s="100">
        <v>8.98</v>
      </c>
      <c r="D354" s="97">
        <f t="shared" si="5"/>
        <v>0</v>
      </c>
    </row>
    <row r="355" spans="1:4" ht="15">
      <c r="A355" s="99" t="s">
        <v>572</v>
      </c>
      <c r="B355" s="3" cm="1">
        <f t="array" ref="B355">SUMPRODUCT((ISNUMBER(MATCH(ESTIMATE!$L$6:$L$205,A355,0)))*(ESTIMATE!$M$6:$M$205)*(ESTIMATE!$A$6:$A$205))</f>
        <v>0</v>
      </c>
      <c r="C355" s="100">
        <v>9.18</v>
      </c>
      <c r="D355" s="97">
        <f t="shared" si="5"/>
        <v>0</v>
      </c>
    </row>
    <row r="356" spans="1:4" ht="15">
      <c r="A356" s="99" t="s">
        <v>573</v>
      </c>
      <c r="B356" s="3" cm="1">
        <f t="array" ref="B356">SUMPRODUCT((ISNUMBER(MATCH(ESTIMATE!$L$6:$L$205,A356,0)))*(ESTIMATE!$M$6:$M$205)*(ESTIMATE!$A$6:$A$205))</f>
        <v>0</v>
      </c>
      <c r="C356" s="100">
        <v>9.3800000000000008</v>
      </c>
      <c r="D356" s="97">
        <f t="shared" si="5"/>
        <v>0</v>
      </c>
    </row>
    <row r="357" spans="1:4" ht="15">
      <c r="A357" s="99" t="s">
        <v>574</v>
      </c>
      <c r="B357" s="3" cm="1">
        <f t="array" ref="B357">SUMPRODUCT((ISNUMBER(MATCH(ESTIMATE!$L$6:$L$205,A357,0)))*(ESTIMATE!$M$6:$M$205)*(ESTIMATE!$A$6:$A$205))</f>
        <v>0</v>
      </c>
      <c r="C357" s="100">
        <v>9.58</v>
      </c>
      <c r="D357" s="97">
        <f t="shared" si="5"/>
        <v>0</v>
      </c>
    </row>
    <row r="358" spans="1:4" ht="15">
      <c r="A358" s="99" t="s">
        <v>575</v>
      </c>
      <c r="B358" s="3" cm="1">
        <f t="array" ref="B358">SUMPRODUCT((ISNUMBER(MATCH(ESTIMATE!$L$6:$L$205,A358,0)))*(ESTIMATE!$M$6:$M$205)*(ESTIMATE!$A$6:$A$205))</f>
        <v>0</v>
      </c>
      <c r="C358" s="100">
        <v>9.8000000000000007</v>
      </c>
      <c r="D358" s="97">
        <f t="shared" si="5"/>
        <v>0</v>
      </c>
    </row>
    <row r="359" spans="1:4" ht="15">
      <c r="A359" s="99" t="s">
        <v>576</v>
      </c>
      <c r="B359" s="3" cm="1">
        <f t="array" ref="B359">SUMPRODUCT((ISNUMBER(MATCH(ESTIMATE!$L$6:$L$205,A359,0)))*(ESTIMATE!$M$6:$M$205)*(ESTIMATE!$A$6:$A$205))</f>
        <v>0</v>
      </c>
      <c r="C359" s="100">
        <v>10</v>
      </c>
      <c r="D359" s="97">
        <f t="shared" si="5"/>
        <v>0</v>
      </c>
    </row>
    <row r="360" spans="1:4" ht="15">
      <c r="A360" s="99" t="s">
        <v>1251</v>
      </c>
      <c r="B360" s="3" cm="1">
        <f t="array" ref="B360">SUMPRODUCT((ISNUMBER(MATCH(ESTIMATE!$L$6:$L$205,A360,0)))*(ESTIMATE!$M$6:$M$205)*(ESTIMATE!$A$6:$A$205))</f>
        <v>0</v>
      </c>
      <c r="C360" s="100">
        <v>10.199999999999999</v>
      </c>
      <c r="D360" s="97">
        <f t="shared" si="5"/>
        <v>0</v>
      </c>
    </row>
    <row r="361" spans="1:4" ht="15">
      <c r="A361" s="99" t="s">
        <v>577</v>
      </c>
      <c r="B361" s="3" cm="1">
        <f t="array" ref="B361">SUMPRODUCT((ISNUMBER(MATCH(ESTIMATE!$L$6:$L$205,A361,0)))*(ESTIMATE!$M$6:$M$205)*(ESTIMATE!$A$6:$A$205))</f>
        <v>0</v>
      </c>
      <c r="C361" s="100">
        <v>10.4</v>
      </c>
      <c r="D361" s="97">
        <f t="shared" si="5"/>
        <v>0</v>
      </c>
    </row>
    <row r="362" spans="1:4" ht="15">
      <c r="A362" s="99" t="s">
        <v>578</v>
      </c>
      <c r="B362" s="3" cm="1">
        <f t="array" ref="B362">SUMPRODUCT((ISNUMBER(MATCH(ESTIMATE!$L$6:$L$205,A362,0)))*(ESTIMATE!$M$6:$M$205)*(ESTIMATE!$A$6:$A$205))</f>
        <v>0</v>
      </c>
      <c r="C362" s="100">
        <v>10.62</v>
      </c>
      <c r="D362" s="97">
        <f t="shared" si="5"/>
        <v>0</v>
      </c>
    </row>
    <row r="363" spans="1:4" ht="15">
      <c r="A363" s="99" t="s">
        <v>579</v>
      </c>
      <c r="B363" s="3" cm="1">
        <f t="array" ref="B363">SUMPRODUCT((ISNUMBER(MATCH(ESTIMATE!$L$6:$L$205,A363,0)))*(ESTIMATE!$M$6:$M$205)*(ESTIMATE!$A$6:$A$205))</f>
        <v>0</v>
      </c>
      <c r="C363" s="100">
        <v>10.77</v>
      </c>
      <c r="D363" s="97">
        <f t="shared" si="5"/>
        <v>0</v>
      </c>
    </row>
    <row r="364" spans="1:4" ht="15">
      <c r="A364" s="99" t="s">
        <v>580</v>
      </c>
      <c r="B364" s="3" cm="1">
        <f t="array" ref="B364">SUMPRODUCT((ISNUMBER(MATCH(ESTIMATE!$L$6:$L$205,A364,0)))*(ESTIMATE!$M$6:$M$205)*(ESTIMATE!$A$6:$A$205))</f>
        <v>0</v>
      </c>
      <c r="C364" s="100">
        <v>10.93</v>
      </c>
      <c r="D364" s="97">
        <f t="shared" si="5"/>
        <v>0</v>
      </c>
    </row>
    <row r="365" spans="1:4" ht="15">
      <c r="A365" s="99" t="s">
        <v>581</v>
      </c>
      <c r="B365" s="3" cm="1">
        <f t="array" ref="B365">SUMPRODUCT((ISNUMBER(MATCH(ESTIMATE!$L$6:$L$205,A365,0)))*(ESTIMATE!$M$6:$M$205)*(ESTIMATE!$A$6:$A$205))</f>
        <v>0</v>
      </c>
      <c r="C365" s="100">
        <v>11.1</v>
      </c>
      <c r="D365" s="97">
        <f t="shared" si="5"/>
        <v>0</v>
      </c>
    </row>
    <row r="366" spans="1:4" ht="15">
      <c r="A366" s="99" t="s">
        <v>582</v>
      </c>
      <c r="B366" s="3" cm="1">
        <f t="array" ref="B366">SUMPRODUCT((ISNUMBER(MATCH(ESTIMATE!$L$6:$L$205,A366,0)))*(ESTIMATE!$M$6:$M$205)*(ESTIMATE!$A$6:$A$205))</f>
        <v>0</v>
      </c>
      <c r="C366" s="100">
        <v>11.27</v>
      </c>
      <c r="D366" s="97">
        <f t="shared" si="5"/>
        <v>0</v>
      </c>
    </row>
    <row r="367" spans="1:4" ht="15">
      <c r="A367" s="99" t="s">
        <v>583</v>
      </c>
      <c r="B367" s="3" cm="1">
        <f t="array" ref="B367">SUMPRODUCT((ISNUMBER(MATCH(ESTIMATE!$L$6:$L$205,A367,0)))*(ESTIMATE!$M$6:$M$205)*(ESTIMATE!$A$6:$A$205))</f>
        <v>0</v>
      </c>
      <c r="C367" s="100">
        <v>11.42</v>
      </c>
      <c r="D367" s="97">
        <f t="shared" si="5"/>
        <v>0</v>
      </c>
    </row>
    <row r="368" spans="1:4" ht="15">
      <c r="A368" s="99" t="s">
        <v>584</v>
      </c>
      <c r="B368" s="3" cm="1">
        <f t="array" ref="B368">SUMPRODUCT((ISNUMBER(MATCH(ESTIMATE!$L$6:$L$205,A368,0)))*(ESTIMATE!$M$6:$M$205)*(ESTIMATE!$A$6:$A$205))</f>
        <v>0</v>
      </c>
      <c r="C368" s="100">
        <v>11.55</v>
      </c>
      <c r="D368" s="97">
        <f t="shared" si="5"/>
        <v>0</v>
      </c>
    </row>
    <row r="369" spans="1:4" ht="15">
      <c r="A369" s="99" t="s">
        <v>585</v>
      </c>
      <c r="B369" s="3" cm="1">
        <f t="array" ref="B369">SUMPRODUCT((ISNUMBER(MATCH(ESTIMATE!$L$6:$L$205,A369,0)))*(ESTIMATE!$M$6:$M$205)*(ESTIMATE!$A$6:$A$205))</f>
        <v>0</v>
      </c>
      <c r="C369" s="100">
        <v>11.63</v>
      </c>
      <c r="D369" s="97">
        <f t="shared" si="5"/>
        <v>0</v>
      </c>
    </row>
    <row r="370" spans="1:4" ht="15">
      <c r="A370" s="99" t="s">
        <v>586</v>
      </c>
      <c r="B370" s="3" cm="1">
        <f t="array" ref="B370">SUMPRODUCT((ISNUMBER(MATCH(ESTIMATE!$L$6:$L$205,A370,0)))*(ESTIMATE!$M$6:$M$205)*(ESTIMATE!$A$6:$A$205))</f>
        <v>0</v>
      </c>
      <c r="C370" s="100">
        <v>11.75</v>
      </c>
      <c r="D370" s="97">
        <f t="shared" si="5"/>
        <v>0</v>
      </c>
    </row>
    <row r="371" spans="1:4" ht="15">
      <c r="A371" s="99" t="s">
        <v>587</v>
      </c>
      <c r="B371" s="3" cm="1">
        <f t="array" ref="B371">SUMPRODUCT((ISNUMBER(MATCH(ESTIMATE!$L$6:$L$205,A371,0)))*(ESTIMATE!$M$6:$M$205)*(ESTIMATE!$A$6:$A$205))</f>
        <v>0</v>
      </c>
      <c r="C371" s="100">
        <v>11.83</v>
      </c>
      <c r="D371" s="97">
        <f t="shared" si="5"/>
        <v>0</v>
      </c>
    </row>
    <row r="372" spans="1:4" ht="15">
      <c r="A372" s="99" t="s">
        <v>588</v>
      </c>
      <c r="B372" s="3" cm="1">
        <f t="array" ref="B372">SUMPRODUCT((ISNUMBER(MATCH(ESTIMATE!$L$6:$L$205,A372,0)))*(ESTIMATE!$M$6:$M$205)*(ESTIMATE!$A$6:$A$205))</f>
        <v>0</v>
      </c>
      <c r="C372" s="100">
        <v>11.92</v>
      </c>
      <c r="D372" s="97">
        <f t="shared" si="5"/>
        <v>0</v>
      </c>
    </row>
    <row r="373" spans="1:4" ht="15">
      <c r="A373" s="99" t="s">
        <v>589</v>
      </c>
      <c r="B373" s="3" cm="1">
        <f t="array" ref="B373">SUMPRODUCT((ISNUMBER(MATCH(ESTIMATE!$L$6:$L$205,A373,0)))*(ESTIMATE!$M$6:$M$205)*(ESTIMATE!$A$6:$A$205))</f>
        <v>0</v>
      </c>
      <c r="C373" s="100">
        <v>11.98</v>
      </c>
      <c r="D373" s="97">
        <f t="shared" si="5"/>
        <v>0</v>
      </c>
    </row>
    <row r="374" spans="1:4" ht="15">
      <c r="A374" s="99" t="s">
        <v>590</v>
      </c>
      <c r="B374" s="3" cm="1">
        <f t="array" ref="B374">SUMPRODUCT((ISNUMBER(MATCH(ESTIMATE!$L$6:$L$205,A374,0)))*(ESTIMATE!$M$6:$M$205)*(ESTIMATE!$A$6:$A$205))</f>
        <v>0</v>
      </c>
      <c r="C374" s="100">
        <v>12.08</v>
      </c>
      <c r="D374" s="97">
        <f t="shared" si="5"/>
        <v>0</v>
      </c>
    </row>
    <row r="375" spans="1:4" ht="15">
      <c r="A375" s="99" t="s">
        <v>591</v>
      </c>
      <c r="B375" s="3" cm="1">
        <f t="array" ref="B375">SUMPRODUCT((ISNUMBER(MATCH(ESTIMATE!$L$6:$L$205,A375,0)))*(ESTIMATE!$M$6:$M$205)*(ESTIMATE!$A$6:$A$205))</f>
        <v>0</v>
      </c>
      <c r="C375" s="100">
        <v>12.17</v>
      </c>
      <c r="D375" s="97">
        <f t="shared" si="5"/>
        <v>0</v>
      </c>
    </row>
    <row r="376" spans="1:4" ht="15">
      <c r="A376" s="99" t="s">
        <v>592</v>
      </c>
      <c r="B376" s="3" cm="1">
        <f t="array" ref="B376">SUMPRODUCT((ISNUMBER(MATCH(ESTIMATE!$L$6:$L$205,A376,0)))*(ESTIMATE!$M$6:$M$205)*(ESTIMATE!$A$6:$A$205))</f>
        <v>0</v>
      </c>
      <c r="C376" s="100">
        <v>12.23</v>
      </c>
      <c r="D376" s="97">
        <f t="shared" si="5"/>
        <v>0</v>
      </c>
    </row>
    <row r="377" spans="1:4" ht="15">
      <c r="A377" s="99" t="s">
        <v>593</v>
      </c>
      <c r="B377" s="3" cm="1">
        <f t="array" ref="B377">SUMPRODUCT((ISNUMBER(MATCH(ESTIMATE!$L$6:$L$205,A377,0)))*(ESTIMATE!$M$6:$M$205)*(ESTIMATE!$A$6:$A$205))</f>
        <v>0</v>
      </c>
      <c r="C377" s="100">
        <v>12.4</v>
      </c>
      <c r="D377" s="97">
        <f t="shared" si="5"/>
        <v>0</v>
      </c>
    </row>
    <row r="378" spans="1:4" ht="15">
      <c r="A378" s="99" t="s">
        <v>594</v>
      </c>
      <c r="B378" s="3" cm="1">
        <f t="array" ref="B378">SUMPRODUCT((ISNUMBER(MATCH(ESTIMATE!$L$6:$L$205,A378,0)))*(ESTIMATE!$M$6:$M$205)*(ESTIMATE!$A$6:$A$205))</f>
        <v>0</v>
      </c>
      <c r="C378" s="100">
        <v>12.55</v>
      </c>
      <c r="D378" s="97">
        <f t="shared" si="5"/>
        <v>0</v>
      </c>
    </row>
    <row r="379" spans="1:4" ht="15">
      <c r="A379" s="99" t="s">
        <v>595</v>
      </c>
      <c r="B379" s="3" cm="1">
        <f t="array" ref="B379">SUMPRODUCT((ISNUMBER(MATCH(ESTIMATE!$L$6:$L$205,A379,0)))*(ESTIMATE!$M$6:$M$205)*(ESTIMATE!$A$6:$A$205))</f>
        <v>0</v>
      </c>
      <c r="C379" s="100">
        <v>12.73</v>
      </c>
      <c r="D379" s="97">
        <f t="shared" si="5"/>
        <v>0</v>
      </c>
    </row>
    <row r="380" spans="1:4" ht="15">
      <c r="A380" s="99" t="s">
        <v>596</v>
      </c>
      <c r="B380" s="3" cm="1">
        <f t="array" ref="B380">SUMPRODUCT((ISNUMBER(MATCH(ESTIMATE!$L$6:$L$205,A380,0)))*(ESTIMATE!$M$6:$M$205)*(ESTIMATE!$A$6:$A$205))</f>
        <v>0</v>
      </c>
      <c r="C380" s="100">
        <v>12.88</v>
      </c>
      <c r="D380" s="97">
        <f t="shared" si="5"/>
        <v>0</v>
      </c>
    </row>
    <row r="381" spans="1:4" ht="15">
      <c r="A381" s="99" t="s">
        <v>597</v>
      </c>
      <c r="B381" s="3" cm="1">
        <f t="array" ref="B381">SUMPRODUCT((ISNUMBER(MATCH(ESTIMATE!$L$6:$L$205,A381,0)))*(ESTIMATE!$M$6:$M$205)*(ESTIMATE!$A$6:$A$205))</f>
        <v>0</v>
      </c>
      <c r="C381" s="100">
        <v>13.05</v>
      </c>
      <c r="D381" s="97">
        <f t="shared" si="5"/>
        <v>0</v>
      </c>
    </row>
    <row r="382" spans="1:4" ht="15">
      <c r="A382" s="99" t="s">
        <v>598</v>
      </c>
      <c r="B382" s="3" cm="1">
        <f t="array" ref="B382">SUMPRODUCT((ISNUMBER(MATCH(ESTIMATE!$L$6:$L$205,A382,0)))*(ESTIMATE!$M$6:$M$205)*(ESTIMATE!$A$6:$A$205))</f>
        <v>0</v>
      </c>
      <c r="C382" s="100">
        <v>13.22</v>
      </c>
      <c r="D382" s="97">
        <f t="shared" si="5"/>
        <v>0</v>
      </c>
    </row>
    <row r="383" spans="1:4" ht="15">
      <c r="A383" s="99" t="s">
        <v>599</v>
      </c>
      <c r="B383" s="3" cm="1">
        <f t="array" ref="B383">SUMPRODUCT((ISNUMBER(MATCH(ESTIMATE!$L$6:$L$205,A383,0)))*(ESTIMATE!$M$6:$M$205)*(ESTIMATE!$A$6:$A$205))</f>
        <v>0</v>
      </c>
      <c r="C383" s="100">
        <v>13.35</v>
      </c>
      <c r="D383" s="97">
        <f t="shared" si="5"/>
        <v>0</v>
      </c>
    </row>
    <row r="384" spans="1:4" ht="15">
      <c r="A384" s="99" t="s">
        <v>600</v>
      </c>
      <c r="B384" s="3" cm="1">
        <f t="array" ref="B384">SUMPRODUCT((ISNUMBER(MATCH(ESTIMATE!$L$6:$L$205,A384,0)))*(ESTIMATE!$M$6:$M$205)*(ESTIMATE!$A$6:$A$205))</f>
        <v>0</v>
      </c>
      <c r="C384" s="100">
        <v>13.47</v>
      </c>
      <c r="D384" s="97">
        <f t="shared" si="5"/>
        <v>0</v>
      </c>
    </row>
    <row r="385" spans="1:4" ht="15">
      <c r="A385" s="99" t="s">
        <v>601</v>
      </c>
      <c r="B385" s="3" cm="1">
        <f t="array" ref="B385">SUMPRODUCT((ISNUMBER(MATCH(ESTIMATE!$L$6:$L$205,A385,0)))*(ESTIMATE!$M$6:$M$205)*(ESTIMATE!$A$6:$A$205))</f>
        <v>0</v>
      </c>
      <c r="C385" s="100">
        <v>13.62</v>
      </c>
      <c r="D385" s="97">
        <f t="shared" si="5"/>
        <v>0</v>
      </c>
    </row>
    <row r="386" spans="1:4" ht="15">
      <c r="A386" s="99" t="s">
        <v>602</v>
      </c>
      <c r="B386" s="3" cm="1">
        <f t="array" ref="B386">SUMPRODUCT((ISNUMBER(MATCH(ESTIMATE!$L$6:$L$205,A386,0)))*(ESTIMATE!$M$6:$M$205)*(ESTIMATE!$A$6:$A$205))</f>
        <v>0</v>
      </c>
      <c r="C386" s="100">
        <v>13.83</v>
      </c>
      <c r="D386" s="97">
        <f t="shared" si="5"/>
        <v>0</v>
      </c>
    </row>
    <row r="387" spans="1:4" ht="15">
      <c r="A387" s="99" t="s">
        <v>603</v>
      </c>
      <c r="B387" s="3" cm="1">
        <f t="array" ref="B387">SUMPRODUCT((ISNUMBER(MATCH(ESTIMATE!$L$6:$L$205,A387,0)))*(ESTIMATE!$M$6:$M$205)*(ESTIMATE!$A$6:$A$205))</f>
        <v>0</v>
      </c>
      <c r="C387" s="100">
        <v>14</v>
      </c>
      <c r="D387" s="97">
        <f t="shared" ref="D387:D450" si="6">SUM(B387*C387)</f>
        <v>0</v>
      </c>
    </row>
    <row r="388" spans="1:4" ht="15">
      <c r="A388" s="99" t="s">
        <v>604</v>
      </c>
      <c r="B388" s="3" cm="1">
        <f t="array" ref="B388">SUMPRODUCT((ISNUMBER(MATCH(ESTIMATE!$L$6:$L$205,A388,0)))*(ESTIMATE!$M$6:$M$205)*(ESTIMATE!$A$6:$A$205))</f>
        <v>0</v>
      </c>
      <c r="C388" s="100">
        <v>14.17</v>
      </c>
      <c r="D388" s="97">
        <f t="shared" si="6"/>
        <v>0</v>
      </c>
    </row>
    <row r="389" spans="1:4" ht="15">
      <c r="A389" s="99" t="s">
        <v>605</v>
      </c>
      <c r="B389" s="3" cm="1">
        <f t="array" ref="B389">SUMPRODUCT((ISNUMBER(MATCH(ESTIMATE!$L$6:$L$205,A389,0)))*(ESTIMATE!$M$6:$M$205)*(ESTIMATE!$A$6:$A$205))</f>
        <v>0</v>
      </c>
      <c r="C389" s="100">
        <v>14.32</v>
      </c>
      <c r="D389" s="97">
        <f t="shared" si="6"/>
        <v>0</v>
      </c>
    </row>
    <row r="390" spans="1:4" ht="15">
      <c r="A390" s="99" t="s">
        <v>606</v>
      </c>
      <c r="B390" s="3" cm="1">
        <f t="array" ref="B390">SUMPRODUCT((ISNUMBER(MATCH(ESTIMATE!$L$6:$L$205,A390,0)))*(ESTIMATE!$M$6:$M$205)*(ESTIMATE!$A$6:$A$205))</f>
        <v>0</v>
      </c>
      <c r="C390" s="100">
        <v>14.53</v>
      </c>
      <c r="D390" s="97">
        <f t="shared" si="6"/>
        <v>0</v>
      </c>
    </row>
    <row r="391" spans="1:4" ht="15">
      <c r="A391" s="99" t="s">
        <v>607</v>
      </c>
      <c r="B391" s="3" cm="1">
        <f t="array" ref="B391">SUMPRODUCT((ISNUMBER(MATCH(ESTIMATE!$L$6:$L$205,A391,0)))*(ESTIMATE!$M$6:$M$205)*(ESTIMATE!$A$6:$A$205))</f>
        <v>0</v>
      </c>
      <c r="C391" s="100">
        <v>14.68</v>
      </c>
      <c r="D391" s="97">
        <f t="shared" si="6"/>
        <v>0</v>
      </c>
    </row>
    <row r="392" spans="1:4" ht="15">
      <c r="A392" s="99" t="s">
        <v>608</v>
      </c>
      <c r="B392" s="3" cm="1">
        <f t="array" ref="B392">SUMPRODUCT((ISNUMBER(MATCH(ESTIMATE!$L$6:$L$205,A392,0)))*(ESTIMATE!$M$6:$M$205)*(ESTIMATE!$A$6:$A$205))</f>
        <v>0</v>
      </c>
      <c r="C392" s="100">
        <v>14.88</v>
      </c>
      <c r="D392" s="97">
        <f t="shared" si="6"/>
        <v>0</v>
      </c>
    </row>
    <row r="393" spans="1:4" ht="15">
      <c r="A393" s="99" t="s">
        <v>609</v>
      </c>
      <c r="B393" s="3" cm="1">
        <f t="array" ref="B393">SUMPRODUCT((ISNUMBER(MATCH(ESTIMATE!$L$6:$L$205,A393,0)))*(ESTIMATE!$M$6:$M$205)*(ESTIMATE!$A$6:$A$205))</f>
        <v>0</v>
      </c>
      <c r="C393" s="100">
        <v>15.08</v>
      </c>
      <c r="D393" s="97">
        <f t="shared" si="6"/>
        <v>0</v>
      </c>
    </row>
    <row r="394" spans="1:4" ht="15">
      <c r="A394" s="99" t="s">
        <v>610</v>
      </c>
      <c r="B394" s="3" cm="1">
        <f t="array" ref="B394">SUMPRODUCT((ISNUMBER(MATCH(ESTIMATE!$L$6:$L$205,A394,0)))*(ESTIMATE!$M$6:$M$205)*(ESTIMATE!$A$6:$A$205))</f>
        <v>0</v>
      </c>
      <c r="C394" s="100">
        <v>15.3</v>
      </c>
      <c r="D394" s="97">
        <f t="shared" si="6"/>
        <v>0</v>
      </c>
    </row>
    <row r="395" spans="1:4" ht="15">
      <c r="A395" s="99" t="s">
        <v>611</v>
      </c>
      <c r="B395" s="3" cm="1">
        <f t="array" ref="B395">SUMPRODUCT((ISNUMBER(MATCH(ESTIMATE!$L$6:$L$205,A395,0)))*(ESTIMATE!$M$6:$M$205)*(ESTIMATE!$A$6:$A$205))</f>
        <v>0</v>
      </c>
      <c r="C395" s="100">
        <v>15.48</v>
      </c>
      <c r="D395" s="97">
        <f t="shared" si="6"/>
        <v>0</v>
      </c>
    </row>
    <row r="396" spans="1:4" ht="15">
      <c r="A396" s="99" t="s">
        <v>612</v>
      </c>
      <c r="B396" s="3" cm="1">
        <f t="array" ref="B396">SUMPRODUCT((ISNUMBER(MATCH(ESTIMATE!$L$6:$L$205,A396,0)))*(ESTIMATE!$M$6:$M$205)*(ESTIMATE!$A$6:$A$205))</f>
        <v>0</v>
      </c>
      <c r="C396" s="100">
        <v>15.7</v>
      </c>
      <c r="D396" s="97">
        <f t="shared" si="6"/>
        <v>0</v>
      </c>
    </row>
    <row r="397" spans="1:4" ht="15">
      <c r="A397" s="99" t="s">
        <v>613</v>
      </c>
      <c r="B397" s="3" cm="1">
        <f t="array" ref="B397">SUMPRODUCT((ISNUMBER(MATCH(ESTIMATE!$L$6:$L$205,A397,0)))*(ESTIMATE!$M$6:$M$205)*(ESTIMATE!$A$6:$A$205))</f>
        <v>0</v>
      </c>
      <c r="C397" s="100">
        <v>15.92</v>
      </c>
      <c r="D397" s="97">
        <f t="shared" si="6"/>
        <v>0</v>
      </c>
    </row>
    <row r="398" spans="1:4" ht="15">
      <c r="A398" s="99" t="s">
        <v>614</v>
      </c>
      <c r="B398" s="3" cm="1">
        <f t="array" ref="B398">SUMPRODUCT((ISNUMBER(MATCH(ESTIMATE!$L$6:$L$205,A398,0)))*(ESTIMATE!$M$6:$M$205)*(ESTIMATE!$A$6:$A$205))</f>
        <v>0</v>
      </c>
      <c r="C398" s="100">
        <v>16.3</v>
      </c>
      <c r="D398" s="97">
        <f t="shared" si="6"/>
        <v>0</v>
      </c>
    </row>
    <row r="399" spans="1:4" ht="15">
      <c r="A399" s="99" t="s">
        <v>615</v>
      </c>
      <c r="B399" s="3" cm="1">
        <f t="array" ref="B399">SUMPRODUCT((ISNUMBER(MATCH(ESTIMATE!$L$6:$L$205,A399,0)))*(ESTIMATE!$M$6:$M$205)*(ESTIMATE!$A$6:$A$205))</f>
        <v>0</v>
      </c>
      <c r="C399" s="100">
        <v>16.43</v>
      </c>
      <c r="D399" s="97">
        <f t="shared" si="6"/>
        <v>0</v>
      </c>
    </row>
    <row r="400" spans="1:4" ht="15">
      <c r="A400" s="99" t="s">
        <v>616</v>
      </c>
      <c r="B400" s="3" cm="1">
        <f t="array" ref="B400">SUMPRODUCT((ISNUMBER(MATCH(ESTIMATE!$L$6:$L$205,A400,0)))*(ESTIMATE!$M$6:$M$205)*(ESTIMATE!$A$6:$A$205))</f>
        <v>0</v>
      </c>
      <c r="C400" s="100">
        <v>16.600000000000001</v>
      </c>
      <c r="D400" s="97">
        <f t="shared" si="6"/>
        <v>0</v>
      </c>
    </row>
    <row r="401" spans="1:4" ht="15">
      <c r="A401" s="99" t="s">
        <v>617</v>
      </c>
      <c r="B401" s="3" cm="1">
        <f t="array" ref="B401">SUMPRODUCT((ISNUMBER(MATCH(ESTIMATE!$L$6:$L$205,A401,0)))*(ESTIMATE!$M$6:$M$205)*(ESTIMATE!$A$6:$A$205))</f>
        <v>0</v>
      </c>
      <c r="C401" s="100">
        <v>16.72</v>
      </c>
      <c r="D401" s="97">
        <f t="shared" si="6"/>
        <v>0</v>
      </c>
    </row>
    <row r="402" spans="1:4" ht="15">
      <c r="A402" s="99" t="s">
        <v>618</v>
      </c>
      <c r="B402" s="3" cm="1">
        <f t="array" ref="B402">SUMPRODUCT((ISNUMBER(MATCH(ESTIMATE!$L$6:$L$205,A402,0)))*(ESTIMATE!$M$6:$M$205)*(ESTIMATE!$A$6:$A$205))</f>
        <v>0</v>
      </c>
      <c r="C402" s="100">
        <v>16.899999999999999</v>
      </c>
      <c r="D402" s="97">
        <f t="shared" si="6"/>
        <v>0</v>
      </c>
    </row>
    <row r="403" spans="1:4" ht="15">
      <c r="A403" s="99" t="s">
        <v>619</v>
      </c>
      <c r="B403" s="3" cm="1">
        <f t="array" ref="B403">SUMPRODUCT((ISNUMBER(MATCH(ESTIMATE!$L$6:$L$205,A403,0)))*(ESTIMATE!$M$6:$M$205)*(ESTIMATE!$A$6:$A$205))</f>
        <v>0</v>
      </c>
      <c r="C403" s="100">
        <v>17.05</v>
      </c>
      <c r="D403" s="97">
        <f t="shared" si="6"/>
        <v>0</v>
      </c>
    </row>
    <row r="404" spans="1:4" ht="15">
      <c r="A404" s="99" t="s">
        <v>620</v>
      </c>
      <c r="B404" s="3" cm="1">
        <f t="array" ref="B404">SUMPRODUCT((ISNUMBER(MATCH(ESTIMATE!$L$6:$L$205,A404,0)))*(ESTIMATE!$M$6:$M$205)*(ESTIMATE!$A$6:$A$205))</f>
        <v>0</v>
      </c>
      <c r="C404" s="100">
        <v>17.22</v>
      </c>
      <c r="D404" s="97">
        <f t="shared" si="6"/>
        <v>0</v>
      </c>
    </row>
    <row r="405" spans="1:4" ht="15">
      <c r="A405" s="99" t="s">
        <v>621</v>
      </c>
      <c r="B405" s="3" cm="1">
        <f t="array" ref="B405">SUMPRODUCT((ISNUMBER(MATCH(ESTIMATE!$L$6:$L$205,A405,0)))*(ESTIMATE!$M$6:$M$205)*(ESTIMATE!$A$6:$A$205))</f>
        <v>0</v>
      </c>
      <c r="C405" s="100">
        <v>17.37</v>
      </c>
      <c r="D405" s="97">
        <f t="shared" si="6"/>
        <v>0</v>
      </c>
    </row>
    <row r="406" spans="1:4" ht="15">
      <c r="A406" s="99" t="s">
        <v>622</v>
      </c>
      <c r="B406" s="3" cm="1">
        <f t="array" ref="B406">SUMPRODUCT((ISNUMBER(MATCH(ESTIMATE!$L$6:$L$205,A406,0)))*(ESTIMATE!$M$6:$M$205)*(ESTIMATE!$A$6:$A$205))</f>
        <v>0</v>
      </c>
      <c r="C406" s="100">
        <v>17.53</v>
      </c>
      <c r="D406" s="97">
        <f t="shared" si="6"/>
        <v>0</v>
      </c>
    </row>
    <row r="407" spans="1:4" ht="15">
      <c r="A407" s="99" t="s">
        <v>623</v>
      </c>
      <c r="B407" s="3" cm="1">
        <f t="array" ref="B407">SUMPRODUCT((ISNUMBER(MATCH(ESTIMATE!$L$6:$L$205,A407,0)))*(ESTIMATE!$M$6:$M$205)*(ESTIMATE!$A$6:$A$205))</f>
        <v>0</v>
      </c>
      <c r="C407" s="100">
        <v>17.78</v>
      </c>
      <c r="D407" s="97">
        <f t="shared" si="6"/>
        <v>0</v>
      </c>
    </row>
    <row r="408" spans="1:4" ht="15">
      <c r="A408" s="99" t="s">
        <v>624</v>
      </c>
      <c r="B408" s="3" cm="1">
        <f t="array" ref="B408">SUMPRODUCT((ISNUMBER(MATCH(ESTIMATE!$L$6:$L$205,A408,0)))*(ESTIMATE!$M$6:$M$205)*(ESTIMATE!$A$6:$A$205))</f>
        <v>0</v>
      </c>
      <c r="C408" s="100">
        <v>18.079999999999998</v>
      </c>
      <c r="D408" s="97">
        <f t="shared" si="6"/>
        <v>0</v>
      </c>
    </row>
    <row r="409" spans="1:4" ht="15">
      <c r="A409" s="99" t="s">
        <v>625</v>
      </c>
      <c r="B409" s="3" cm="1">
        <f t="array" ref="B409">SUMPRODUCT((ISNUMBER(MATCH(ESTIMATE!$L$6:$L$205,A409,0)))*(ESTIMATE!$M$6:$M$205)*(ESTIMATE!$A$6:$A$205))</f>
        <v>0</v>
      </c>
      <c r="C409" s="100">
        <v>18.350000000000001</v>
      </c>
      <c r="D409" s="97">
        <f t="shared" si="6"/>
        <v>0</v>
      </c>
    </row>
    <row r="410" spans="1:4" ht="15">
      <c r="A410" s="99" t="s">
        <v>626</v>
      </c>
      <c r="B410" s="3" cm="1">
        <f t="array" ref="B410">SUMPRODUCT((ISNUMBER(MATCH(ESTIMATE!$L$6:$L$205,A410,0)))*(ESTIMATE!$M$6:$M$205)*(ESTIMATE!$A$6:$A$205))</f>
        <v>0</v>
      </c>
      <c r="C410" s="100">
        <v>18.57</v>
      </c>
      <c r="D410" s="97">
        <f t="shared" si="6"/>
        <v>0</v>
      </c>
    </row>
    <row r="411" spans="1:4" ht="15">
      <c r="A411" s="99" t="s">
        <v>627</v>
      </c>
      <c r="B411" s="3" cm="1">
        <f t="array" ref="B411">SUMPRODUCT((ISNUMBER(MATCH(ESTIMATE!$L$6:$L$205,A411,0)))*(ESTIMATE!$M$6:$M$205)*(ESTIMATE!$A$6:$A$205))</f>
        <v>0</v>
      </c>
      <c r="C411" s="100">
        <v>18.77</v>
      </c>
      <c r="D411" s="97">
        <f t="shared" si="6"/>
        <v>0</v>
      </c>
    </row>
    <row r="412" spans="1:4" ht="15">
      <c r="A412" s="99" t="s">
        <v>628</v>
      </c>
      <c r="B412" s="3" cm="1">
        <f t="array" ref="B412">SUMPRODUCT((ISNUMBER(MATCH(ESTIMATE!$L$6:$L$205,A412,0)))*(ESTIMATE!$M$6:$M$205)*(ESTIMATE!$A$6:$A$205))</f>
        <v>0</v>
      </c>
      <c r="C412" s="100">
        <v>18.95</v>
      </c>
      <c r="D412" s="97">
        <f t="shared" si="6"/>
        <v>0</v>
      </c>
    </row>
    <row r="413" spans="1:4" ht="15">
      <c r="A413" s="99" t="s">
        <v>629</v>
      </c>
      <c r="B413" s="3" cm="1">
        <f t="array" ref="B413">SUMPRODUCT((ISNUMBER(MATCH(ESTIMATE!$L$6:$L$205,A413,0)))*(ESTIMATE!$M$6:$M$205)*(ESTIMATE!$A$6:$A$205))</f>
        <v>0</v>
      </c>
      <c r="C413" s="100">
        <v>19.170000000000002</v>
      </c>
      <c r="D413" s="97">
        <f t="shared" si="6"/>
        <v>0</v>
      </c>
    </row>
    <row r="414" spans="1:4" ht="15">
      <c r="A414" s="99" t="s">
        <v>630</v>
      </c>
      <c r="B414" s="3" cm="1">
        <f t="array" ref="B414">SUMPRODUCT((ISNUMBER(MATCH(ESTIMATE!$L$6:$L$205,A414,0)))*(ESTIMATE!$M$6:$M$205)*(ESTIMATE!$A$6:$A$205))</f>
        <v>0</v>
      </c>
      <c r="C414" s="100">
        <v>19.28</v>
      </c>
      <c r="D414" s="97">
        <f t="shared" si="6"/>
        <v>0</v>
      </c>
    </row>
    <row r="415" spans="1:4" ht="15">
      <c r="A415" s="99" t="s">
        <v>631</v>
      </c>
      <c r="B415" s="3" cm="1">
        <f t="array" ref="B415">SUMPRODUCT((ISNUMBER(MATCH(ESTIMATE!$L$6:$L$205,A415,0)))*(ESTIMATE!$M$6:$M$205)*(ESTIMATE!$A$6:$A$205))</f>
        <v>0</v>
      </c>
      <c r="C415" s="100">
        <v>19.45</v>
      </c>
      <c r="D415" s="97">
        <f t="shared" si="6"/>
        <v>0</v>
      </c>
    </row>
    <row r="416" spans="1:4" ht="15">
      <c r="A416" s="99" t="s">
        <v>523</v>
      </c>
      <c r="B416" s="3" cm="1">
        <f t="array" ref="B416">SUMPRODUCT((ISNUMBER(MATCH(ESTIMATE!$L$6:$L$205,A416,0)))*(ESTIMATE!$M$6:$M$205)*(ESTIMATE!$A$6:$A$205))</f>
        <v>0</v>
      </c>
      <c r="C416" s="100">
        <v>19.579999999999998</v>
      </c>
      <c r="D416" s="97">
        <f t="shared" si="6"/>
        <v>0</v>
      </c>
    </row>
    <row r="417" spans="1:4" ht="15">
      <c r="A417" s="99" t="s">
        <v>524</v>
      </c>
      <c r="B417" s="3" cm="1">
        <f t="array" ref="B417">SUMPRODUCT((ISNUMBER(MATCH(ESTIMATE!$L$6:$L$205,A417,0)))*(ESTIMATE!$M$6:$M$205)*(ESTIMATE!$A$6:$A$205))</f>
        <v>0</v>
      </c>
      <c r="C417" s="100">
        <v>19.75</v>
      </c>
      <c r="D417" s="97">
        <f t="shared" si="6"/>
        <v>0</v>
      </c>
    </row>
    <row r="418" spans="1:4" ht="15">
      <c r="A418" s="99" t="s">
        <v>1252</v>
      </c>
      <c r="B418" s="3" cm="1">
        <f t="array" ref="B418">SUMPRODUCT((ISNUMBER(MATCH(ESTIMATE!$L$6:$L$205,A418,0)))*(ESTIMATE!$M$6:$M$205)*(ESTIMATE!$A$6:$A$205))</f>
        <v>0</v>
      </c>
      <c r="C418" s="100">
        <v>19.78</v>
      </c>
      <c r="D418" s="97">
        <f t="shared" si="6"/>
        <v>0</v>
      </c>
    </row>
    <row r="419" spans="1:4" ht="15">
      <c r="A419" s="99" t="s">
        <v>525</v>
      </c>
      <c r="B419" s="3" cm="1">
        <f t="array" ref="B419">SUMPRODUCT((ISNUMBER(MATCH(ESTIMATE!$L$6:$L$205,A419,0)))*(ESTIMATE!$M$6:$M$205)*(ESTIMATE!$A$6:$A$205))</f>
        <v>0</v>
      </c>
      <c r="C419" s="100">
        <v>19.98</v>
      </c>
      <c r="D419" s="97">
        <f t="shared" si="6"/>
        <v>0</v>
      </c>
    </row>
    <row r="420" spans="1:4" ht="15">
      <c r="A420" s="99" t="s">
        <v>1253</v>
      </c>
      <c r="B420" s="3" cm="1">
        <f t="array" ref="B420">SUMPRODUCT((ISNUMBER(MATCH(ESTIMATE!$L$6:$L$205,A420,0)))*(ESTIMATE!$M$6:$M$205)*(ESTIMATE!$A$6:$A$205))</f>
        <v>0</v>
      </c>
      <c r="C420" s="100">
        <v>20.18</v>
      </c>
      <c r="D420" s="97">
        <f t="shared" si="6"/>
        <v>0</v>
      </c>
    </row>
    <row r="421" spans="1:4" ht="15">
      <c r="A421" s="99" t="s">
        <v>526</v>
      </c>
      <c r="B421" s="3" cm="1">
        <f t="array" ref="B421">SUMPRODUCT((ISNUMBER(MATCH(ESTIMATE!$L$6:$L$205,A421,0)))*(ESTIMATE!$M$6:$M$205)*(ESTIMATE!$A$6:$A$205))</f>
        <v>0</v>
      </c>
      <c r="C421" s="100">
        <v>20.399999999999999</v>
      </c>
      <c r="D421" s="97">
        <f t="shared" si="6"/>
        <v>0</v>
      </c>
    </row>
    <row r="422" spans="1:4" ht="15">
      <c r="A422" s="99" t="s">
        <v>1254</v>
      </c>
      <c r="B422" s="3" cm="1">
        <f t="array" ref="B422">SUMPRODUCT((ISNUMBER(MATCH(ESTIMATE!$L$6:$L$205,A422,0)))*(ESTIMATE!$M$6:$M$205)*(ESTIMATE!$A$6:$A$205))</f>
        <v>0</v>
      </c>
      <c r="C422" s="100">
        <v>20.95</v>
      </c>
      <c r="D422" s="97">
        <f t="shared" si="6"/>
        <v>0</v>
      </c>
    </row>
    <row r="423" spans="1:4" ht="15">
      <c r="A423" s="99" t="s">
        <v>527</v>
      </c>
      <c r="B423" s="3" cm="1">
        <f t="array" ref="B423">SUMPRODUCT((ISNUMBER(MATCH(ESTIMATE!$L$6:$L$205,A423,0)))*(ESTIMATE!$M$6:$M$205)*(ESTIMATE!$A$6:$A$205))</f>
        <v>0</v>
      </c>
      <c r="C423" s="100">
        <v>21.13</v>
      </c>
      <c r="D423" s="97">
        <f t="shared" si="6"/>
        <v>0</v>
      </c>
    </row>
    <row r="424" spans="1:4" ht="15">
      <c r="A424" s="99" t="s">
        <v>1255</v>
      </c>
      <c r="B424" s="3" cm="1">
        <f t="array" ref="B424">SUMPRODUCT((ISNUMBER(MATCH(ESTIMATE!$L$6:$L$205,A424,0)))*(ESTIMATE!$M$6:$M$205)*(ESTIMATE!$A$6:$A$205))</f>
        <v>0</v>
      </c>
      <c r="C424" s="100">
        <v>21.58</v>
      </c>
      <c r="D424" s="97">
        <f t="shared" si="6"/>
        <v>0</v>
      </c>
    </row>
    <row r="425" spans="1:4" ht="15">
      <c r="A425" s="99" t="s">
        <v>528</v>
      </c>
      <c r="B425" s="3" cm="1">
        <f t="array" ref="B425">SUMPRODUCT((ISNUMBER(MATCH(ESTIMATE!$L$6:$L$205,A425,0)))*(ESTIMATE!$M$6:$M$205)*(ESTIMATE!$A$6:$A$205))</f>
        <v>0</v>
      </c>
      <c r="C425" s="100">
        <v>21.83</v>
      </c>
      <c r="D425" s="97">
        <f t="shared" si="6"/>
        <v>0</v>
      </c>
    </row>
    <row r="426" spans="1:4" ht="15">
      <c r="A426" s="99" t="s">
        <v>529</v>
      </c>
      <c r="B426" s="3" cm="1">
        <f t="array" ref="B426">SUMPRODUCT((ISNUMBER(MATCH(ESTIMATE!$L$6:$L$205,A426,0)))*(ESTIMATE!$M$6:$M$205)*(ESTIMATE!$A$6:$A$205))</f>
        <v>0</v>
      </c>
      <c r="C426" s="100">
        <v>22.03</v>
      </c>
      <c r="D426" s="97">
        <f t="shared" si="6"/>
        <v>0</v>
      </c>
    </row>
    <row r="427" spans="1:4" ht="15">
      <c r="A427" s="99" t="s">
        <v>1256</v>
      </c>
      <c r="B427" s="3" cm="1">
        <f t="array" ref="B427">SUMPRODUCT((ISNUMBER(MATCH(ESTIMATE!$L$6:$L$205,A427,0)))*(ESTIMATE!$M$6:$M$205)*(ESTIMATE!$A$6:$A$205))</f>
        <v>0</v>
      </c>
      <c r="C427" s="100">
        <v>22.25</v>
      </c>
      <c r="D427" s="97">
        <f t="shared" si="6"/>
        <v>0</v>
      </c>
    </row>
    <row r="428" spans="1:4" ht="15">
      <c r="A428" s="99" t="s">
        <v>1257</v>
      </c>
      <c r="B428" s="3" cm="1">
        <f t="array" ref="B428">SUMPRODUCT((ISNUMBER(MATCH(ESTIMATE!$L$6:$L$205,A428,0)))*(ESTIMATE!$M$6:$M$205)*(ESTIMATE!$A$6:$A$205))</f>
        <v>0</v>
      </c>
      <c r="C428" s="100">
        <v>22.45</v>
      </c>
      <c r="D428" s="97">
        <f t="shared" si="6"/>
        <v>0</v>
      </c>
    </row>
    <row r="429" spans="1:4" ht="15">
      <c r="A429" s="99" t="s">
        <v>530</v>
      </c>
      <c r="B429" s="3" cm="1">
        <f t="array" ref="B429">SUMPRODUCT((ISNUMBER(MATCH(ESTIMATE!$L$6:$L$205,A429,0)))*(ESTIMATE!$M$6:$M$205)*(ESTIMATE!$A$6:$A$205))</f>
        <v>0</v>
      </c>
      <c r="C429" s="100">
        <v>22.65</v>
      </c>
      <c r="D429" s="97">
        <f t="shared" si="6"/>
        <v>0</v>
      </c>
    </row>
    <row r="430" spans="1:4" ht="15">
      <c r="A430" s="99" t="s">
        <v>1258</v>
      </c>
      <c r="B430" s="3" cm="1">
        <f t="array" ref="B430">SUMPRODUCT((ISNUMBER(MATCH(ESTIMATE!$L$6:$L$205,A430,0)))*(ESTIMATE!$M$6:$M$205)*(ESTIMATE!$A$6:$A$205))</f>
        <v>0</v>
      </c>
      <c r="C430" s="100">
        <v>22.93</v>
      </c>
      <c r="D430" s="97">
        <f t="shared" si="6"/>
        <v>0</v>
      </c>
    </row>
    <row r="431" spans="1:4" ht="15">
      <c r="A431" s="99" t="s">
        <v>531</v>
      </c>
      <c r="B431" s="3" cm="1">
        <f t="array" ref="B431">SUMPRODUCT((ISNUMBER(MATCH(ESTIMATE!$L$6:$L$205,A431,0)))*(ESTIMATE!$M$6:$M$205)*(ESTIMATE!$A$6:$A$205))</f>
        <v>0</v>
      </c>
      <c r="C431" s="100">
        <v>23.25</v>
      </c>
      <c r="D431" s="97">
        <f t="shared" si="6"/>
        <v>0</v>
      </c>
    </row>
    <row r="432" spans="1:4" ht="15">
      <c r="A432" s="99" t="s">
        <v>1259</v>
      </c>
      <c r="B432" s="3" cm="1">
        <f t="array" ref="B432">SUMPRODUCT((ISNUMBER(MATCH(ESTIMATE!$L$6:$L$205,A432,0)))*(ESTIMATE!$M$6:$M$205)*(ESTIMATE!$A$6:$A$205))</f>
        <v>0</v>
      </c>
      <c r="C432" s="100">
        <v>23.67</v>
      </c>
      <c r="D432" s="97">
        <f t="shared" si="6"/>
        <v>0</v>
      </c>
    </row>
    <row r="433" spans="1:4" ht="15">
      <c r="A433" s="99" t="s">
        <v>532</v>
      </c>
      <c r="B433" s="3" cm="1">
        <f t="array" ref="B433">SUMPRODUCT((ISNUMBER(MATCH(ESTIMATE!$L$6:$L$205,A433,0)))*(ESTIMATE!$M$6:$M$205)*(ESTIMATE!$A$6:$A$205))</f>
        <v>0</v>
      </c>
      <c r="C433" s="100">
        <v>23.87</v>
      </c>
      <c r="D433" s="97">
        <f t="shared" si="6"/>
        <v>0</v>
      </c>
    </row>
    <row r="434" spans="1:4" ht="15">
      <c r="A434" s="99" t="s">
        <v>533</v>
      </c>
      <c r="B434" s="3" cm="1">
        <f t="array" ref="B434">SUMPRODUCT((ISNUMBER(MATCH(ESTIMATE!$L$6:$L$205,A434,0)))*(ESTIMATE!$M$6:$M$205)*(ESTIMATE!$A$6:$A$205))</f>
        <v>0</v>
      </c>
      <c r="C434" s="100">
        <v>24.07</v>
      </c>
      <c r="D434" s="97">
        <f t="shared" si="6"/>
        <v>0</v>
      </c>
    </row>
    <row r="435" spans="1:4" ht="15">
      <c r="A435" s="99" t="s">
        <v>534</v>
      </c>
      <c r="B435" s="3" cm="1">
        <f t="array" ref="B435">SUMPRODUCT((ISNUMBER(MATCH(ESTIMATE!$L$6:$L$205,A435,0)))*(ESTIMATE!$M$6:$M$205)*(ESTIMATE!$A$6:$A$205))</f>
        <v>0</v>
      </c>
      <c r="C435" s="100">
        <v>24.48</v>
      </c>
      <c r="D435" s="97">
        <f t="shared" si="6"/>
        <v>0</v>
      </c>
    </row>
    <row r="436" spans="1:4" ht="15">
      <c r="A436" s="99" t="s">
        <v>535</v>
      </c>
      <c r="B436" s="3" cm="1">
        <f t="array" ref="B436">SUMPRODUCT((ISNUMBER(MATCH(ESTIMATE!$L$6:$L$205,A436,0)))*(ESTIMATE!$M$6:$M$205)*(ESTIMATE!$A$6:$A$205))</f>
        <v>0</v>
      </c>
      <c r="C436" s="100">
        <v>24.87</v>
      </c>
      <c r="D436" s="97">
        <f t="shared" si="6"/>
        <v>0</v>
      </c>
    </row>
    <row r="437" spans="1:4" ht="15">
      <c r="A437" s="99" t="s">
        <v>1260</v>
      </c>
      <c r="B437" s="3" cm="1">
        <f t="array" ref="B437">SUMPRODUCT((ISNUMBER(MATCH(ESTIMATE!$L$6:$L$205,A437,0)))*(ESTIMATE!$M$6:$M$205)*(ESTIMATE!$A$6:$A$205))</f>
        <v>0</v>
      </c>
      <c r="C437" s="100">
        <v>25.38</v>
      </c>
      <c r="D437" s="97">
        <f t="shared" si="6"/>
        <v>0</v>
      </c>
    </row>
    <row r="438" spans="1:4" ht="15">
      <c r="A438" s="99" t="s">
        <v>1261</v>
      </c>
      <c r="B438" s="3" cm="1">
        <f t="array" ref="B438">SUMPRODUCT((ISNUMBER(MATCH(ESTIMATE!$L$6:$L$205,A438,0)))*(ESTIMATE!$M$6:$M$205)*(ESTIMATE!$A$6:$A$205))</f>
        <v>0</v>
      </c>
      <c r="C438" s="100">
        <v>25.72</v>
      </c>
      <c r="D438" s="97">
        <f t="shared" si="6"/>
        <v>0</v>
      </c>
    </row>
    <row r="439" spans="1:4" ht="15">
      <c r="A439" s="99" t="s">
        <v>536</v>
      </c>
      <c r="B439" s="3" cm="1">
        <f t="array" ref="B439">SUMPRODUCT((ISNUMBER(MATCH(ESTIMATE!$L$6:$L$205,A439,0)))*(ESTIMATE!$M$6:$M$205)*(ESTIMATE!$A$6:$A$205))</f>
        <v>0</v>
      </c>
      <c r="C439" s="100">
        <v>26.12</v>
      </c>
      <c r="D439" s="97">
        <f t="shared" si="6"/>
        <v>0</v>
      </c>
    </row>
    <row r="440" spans="1:4" ht="15">
      <c r="A440" s="99" t="s">
        <v>537</v>
      </c>
      <c r="B440" s="3" cm="1">
        <f t="array" ref="B440">SUMPRODUCT((ISNUMBER(MATCH(ESTIMATE!$L$6:$L$205,A440,0)))*(ESTIMATE!$M$6:$M$205)*(ESTIMATE!$A$6:$A$205))</f>
        <v>0</v>
      </c>
      <c r="C440" s="100">
        <v>26.58</v>
      </c>
      <c r="D440" s="97">
        <f t="shared" si="6"/>
        <v>0</v>
      </c>
    </row>
    <row r="441" spans="1:4" ht="15">
      <c r="A441" s="99" t="s">
        <v>1262</v>
      </c>
      <c r="B441" s="3" cm="1">
        <f t="array" ref="B441">SUMPRODUCT((ISNUMBER(MATCH(ESTIMATE!$L$6:$L$205,A441,0)))*(ESTIMATE!$M$6:$M$205)*(ESTIMATE!$A$6:$A$205))</f>
        <v>0</v>
      </c>
      <c r="C441" s="100">
        <v>26.97</v>
      </c>
      <c r="D441" s="97">
        <f t="shared" si="6"/>
        <v>0</v>
      </c>
    </row>
    <row r="442" spans="1:4" ht="15">
      <c r="A442" s="99" t="s">
        <v>538</v>
      </c>
      <c r="B442" s="3" cm="1">
        <f t="array" ref="B442">SUMPRODUCT((ISNUMBER(MATCH(ESTIMATE!$L$6:$L$205,A442,0)))*(ESTIMATE!$M$6:$M$205)*(ESTIMATE!$A$6:$A$205))</f>
        <v>0</v>
      </c>
      <c r="C442" s="100">
        <v>27.33</v>
      </c>
      <c r="D442" s="97">
        <f t="shared" si="6"/>
        <v>0</v>
      </c>
    </row>
    <row r="443" spans="1:4" ht="15">
      <c r="A443" s="99" t="s">
        <v>1263</v>
      </c>
      <c r="B443" s="3" cm="1">
        <f t="array" ref="B443">SUMPRODUCT((ISNUMBER(MATCH(ESTIMATE!$L$6:$L$205,A443,0)))*(ESTIMATE!$M$6:$M$205)*(ESTIMATE!$A$6:$A$205))</f>
        <v>0</v>
      </c>
      <c r="C443" s="100">
        <v>27.75</v>
      </c>
      <c r="D443" s="97">
        <f t="shared" si="6"/>
        <v>0</v>
      </c>
    </row>
    <row r="444" spans="1:4" ht="15">
      <c r="A444" s="99" t="s">
        <v>539</v>
      </c>
      <c r="B444" s="3" cm="1">
        <f t="array" ref="B444">SUMPRODUCT((ISNUMBER(MATCH(ESTIMATE!$L$6:$L$205,A444,0)))*(ESTIMATE!$M$6:$M$205)*(ESTIMATE!$A$6:$A$205))</f>
        <v>0</v>
      </c>
      <c r="C444" s="100">
        <v>28.15</v>
      </c>
      <c r="D444" s="97">
        <f t="shared" si="6"/>
        <v>0</v>
      </c>
    </row>
    <row r="445" spans="1:4" ht="15">
      <c r="A445" s="99" t="s">
        <v>1264</v>
      </c>
      <c r="B445" s="3" cm="1">
        <f t="array" ref="B445">SUMPRODUCT((ISNUMBER(MATCH(ESTIMATE!$L$6:$L$205,A445,0)))*(ESTIMATE!$M$6:$M$205)*(ESTIMATE!$A$6:$A$205))</f>
        <v>0</v>
      </c>
      <c r="C445" s="100">
        <v>28.65</v>
      </c>
      <c r="D445" s="97">
        <f t="shared" si="6"/>
        <v>0</v>
      </c>
    </row>
    <row r="446" spans="1:4" ht="15">
      <c r="A446" s="99" t="s">
        <v>540</v>
      </c>
      <c r="B446" s="3" cm="1">
        <f t="array" ref="B446">SUMPRODUCT((ISNUMBER(MATCH(ESTIMATE!$L$6:$L$205,A446,0)))*(ESTIMATE!$M$6:$M$205)*(ESTIMATE!$A$6:$A$205))</f>
        <v>0</v>
      </c>
      <c r="C446" s="100">
        <v>28.83</v>
      </c>
      <c r="D446" s="97">
        <f t="shared" si="6"/>
        <v>0</v>
      </c>
    </row>
    <row r="447" spans="1:4" ht="15">
      <c r="A447" s="99" t="s">
        <v>541</v>
      </c>
      <c r="B447" s="3" cm="1">
        <f t="array" ref="B447">SUMPRODUCT((ISNUMBER(MATCH(ESTIMATE!$L$6:$L$205,A447,0)))*(ESTIMATE!$M$6:$M$205)*(ESTIMATE!$A$6:$A$205))</f>
        <v>0</v>
      </c>
      <c r="C447" s="100">
        <v>29.72</v>
      </c>
      <c r="D447" s="97">
        <f t="shared" si="6"/>
        <v>0</v>
      </c>
    </row>
    <row r="448" spans="1:4" ht="15">
      <c r="A448" s="99" t="s">
        <v>542</v>
      </c>
      <c r="B448" s="3" cm="1">
        <f t="array" ref="B448">SUMPRODUCT((ISNUMBER(MATCH(ESTIMATE!$L$6:$L$205,A448,0)))*(ESTIMATE!$M$6:$M$205)*(ESTIMATE!$A$6:$A$205))</f>
        <v>0</v>
      </c>
      <c r="C448" s="100">
        <v>30.5</v>
      </c>
      <c r="D448" s="97">
        <f t="shared" si="6"/>
        <v>0</v>
      </c>
    </row>
    <row r="449" spans="1:4" ht="15">
      <c r="A449" s="99" t="s">
        <v>543</v>
      </c>
      <c r="B449" s="3" cm="1">
        <f t="array" ref="B449">SUMPRODUCT((ISNUMBER(MATCH(ESTIMATE!$L$6:$L$205,A449,0)))*(ESTIMATE!$M$6:$M$205)*(ESTIMATE!$A$6:$A$205))</f>
        <v>0</v>
      </c>
      <c r="C449" s="100">
        <v>30.58</v>
      </c>
      <c r="D449" s="97">
        <f t="shared" si="6"/>
        <v>0</v>
      </c>
    </row>
    <row r="450" spans="1:4" ht="15">
      <c r="A450" s="99" t="s">
        <v>544</v>
      </c>
      <c r="B450" s="3" cm="1">
        <f t="array" ref="B450">SUMPRODUCT((ISNUMBER(MATCH(ESTIMATE!$L$6:$L$205,A450,0)))*(ESTIMATE!$M$6:$M$205)*(ESTIMATE!$A$6:$A$205))</f>
        <v>0</v>
      </c>
      <c r="C450" s="100">
        <v>31.82</v>
      </c>
      <c r="D450" s="97">
        <f t="shared" si="6"/>
        <v>0</v>
      </c>
    </row>
    <row r="451" spans="1:4" ht="15">
      <c r="A451" s="99" t="s">
        <v>1265</v>
      </c>
      <c r="B451" s="3" cm="1">
        <f t="array" ref="B451">SUMPRODUCT((ISNUMBER(MATCH(ESTIMATE!$L$6:$L$205,A451,0)))*(ESTIMATE!$M$6:$M$205)*(ESTIMATE!$A$6:$A$205))</f>
        <v>0</v>
      </c>
      <c r="C451" s="100">
        <v>32.03</v>
      </c>
      <c r="D451" s="97">
        <f t="shared" ref="D451:D514" si="7">SUM(B451*C451)</f>
        <v>0</v>
      </c>
    </row>
    <row r="452" spans="1:4" ht="15">
      <c r="A452" s="99" t="s">
        <v>1266</v>
      </c>
      <c r="B452" s="3" cm="1">
        <f t="array" ref="B452">SUMPRODUCT((ISNUMBER(MATCH(ESTIMATE!$L$6:$L$205,A452,0)))*(ESTIMATE!$M$6:$M$205)*(ESTIMATE!$A$6:$A$205))</f>
        <v>0</v>
      </c>
      <c r="C452" s="100">
        <v>32.42</v>
      </c>
      <c r="D452" s="97">
        <f t="shared" si="7"/>
        <v>0</v>
      </c>
    </row>
    <row r="453" spans="1:4" ht="15">
      <c r="A453" s="99" t="s">
        <v>545</v>
      </c>
      <c r="B453" s="3" cm="1">
        <f t="array" ref="B453">SUMPRODUCT((ISNUMBER(MATCH(ESTIMATE!$L$6:$L$205,A453,0)))*(ESTIMATE!$M$6:$M$205)*(ESTIMATE!$A$6:$A$205))</f>
        <v>0</v>
      </c>
      <c r="C453" s="100">
        <v>33.43</v>
      </c>
      <c r="D453" s="97">
        <f t="shared" si="7"/>
        <v>0</v>
      </c>
    </row>
    <row r="454" spans="1:4" ht="15">
      <c r="A454" s="99" t="s">
        <v>1267</v>
      </c>
      <c r="B454" s="3" cm="1">
        <f t="array" ref="B454">SUMPRODUCT((ISNUMBER(MATCH(ESTIMATE!$L$6:$L$205,A454,0)))*(ESTIMATE!$M$6:$M$205)*(ESTIMATE!$A$6:$A$205))</f>
        <v>0</v>
      </c>
      <c r="C454" s="100">
        <v>34.1</v>
      </c>
      <c r="D454" s="97">
        <f t="shared" si="7"/>
        <v>0</v>
      </c>
    </row>
    <row r="455" spans="1:4" ht="15">
      <c r="A455" s="99" t="s">
        <v>546</v>
      </c>
      <c r="B455" s="3" cm="1">
        <f t="array" ref="B455">SUMPRODUCT((ISNUMBER(MATCH(ESTIMATE!$L$6:$L$205,A455,0)))*(ESTIMATE!$M$6:$M$205)*(ESTIMATE!$A$6:$A$205))</f>
        <v>0</v>
      </c>
      <c r="C455" s="100">
        <v>35.08</v>
      </c>
      <c r="D455" s="97">
        <f t="shared" si="7"/>
        <v>0</v>
      </c>
    </row>
    <row r="456" spans="1:4" ht="15">
      <c r="A456" s="99" t="s">
        <v>1268</v>
      </c>
      <c r="B456" s="3" cm="1">
        <f t="array" ref="B456">SUMPRODUCT((ISNUMBER(MATCH(ESTIMATE!$L$6:$L$205,A456,0)))*(ESTIMATE!$M$6:$M$205)*(ESTIMATE!$A$6:$A$205))</f>
        <v>0</v>
      </c>
      <c r="C456" s="100">
        <v>35.47</v>
      </c>
      <c r="D456" s="97">
        <f t="shared" si="7"/>
        <v>0</v>
      </c>
    </row>
    <row r="457" spans="1:4" ht="15">
      <c r="A457" s="99" t="s">
        <v>547</v>
      </c>
      <c r="B457" s="3" cm="1">
        <f t="array" ref="B457">SUMPRODUCT((ISNUMBER(MATCH(ESTIMATE!$L$6:$L$205,A457,0)))*(ESTIMATE!$M$6:$M$205)*(ESTIMATE!$A$6:$A$205))</f>
        <v>0</v>
      </c>
      <c r="C457" s="100">
        <v>37.020000000000003</v>
      </c>
      <c r="D457" s="97">
        <f t="shared" si="7"/>
        <v>0</v>
      </c>
    </row>
    <row r="458" spans="1:4" ht="15">
      <c r="A458" s="99" t="s">
        <v>548</v>
      </c>
      <c r="B458" s="3" cm="1">
        <f t="array" ref="B458">SUMPRODUCT((ISNUMBER(MATCH(ESTIMATE!$L$6:$L$205,A458,0)))*(ESTIMATE!$M$6:$M$205)*(ESTIMATE!$A$6:$A$205))</f>
        <v>0</v>
      </c>
      <c r="C458" s="100">
        <v>37.93</v>
      </c>
      <c r="D458" s="97">
        <f t="shared" si="7"/>
        <v>0</v>
      </c>
    </row>
    <row r="459" spans="1:4" ht="15">
      <c r="A459" s="99" t="s">
        <v>549</v>
      </c>
      <c r="B459" s="3" cm="1">
        <f t="array" ref="B459">SUMPRODUCT((ISNUMBER(MATCH(ESTIMATE!$L$6:$L$205,A459,0)))*(ESTIMATE!$M$6:$M$205)*(ESTIMATE!$A$6:$A$205))</f>
        <v>0</v>
      </c>
      <c r="C459" s="100">
        <v>39.770000000000003</v>
      </c>
      <c r="D459" s="97">
        <f t="shared" si="7"/>
        <v>0</v>
      </c>
    </row>
    <row r="460" spans="1:4" ht="15">
      <c r="A460" s="99" t="s">
        <v>550</v>
      </c>
      <c r="B460" s="3" cm="1">
        <f t="array" ref="B460">SUMPRODUCT((ISNUMBER(MATCH(ESTIMATE!$L$6:$L$205,A460,0)))*(ESTIMATE!$M$6:$M$205)*(ESTIMATE!$A$6:$A$205))</f>
        <v>0</v>
      </c>
      <c r="C460" s="100">
        <v>40.78</v>
      </c>
      <c r="D460" s="97">
        <f t="shared" si="7"/>
        <v>0</v>
      </c>
    </row>
    <row r="461" spans="1:4" ht="15">
      <c r="A461" s="99" t="s">
        <v>551</v>
      </c>
      <c r="B461" s="3" cm="1">
        <f t="array" ref="B461">SUMPRODUCT((ISNUMBER(MATCH(ESTIMATE!$L$6:$L$205,A461,0)))*(ESTIMATE!$M$6:$M$205)*(ESTIMATE!$A$6:$A$205))</f>
        <v>0</v>
      </c>
      <c r="C461" s="100">
        <v>43.32</v>
      </c>
      <c r="D461" s="97">
        <f t="shared" si="7"/>
        <v>0</v>
      </c>
    </row>
    <row r="462" spans="1:4" ht="15">
      <c r="A462" s="99" t="s">
        <v>552</v>
      </c>
      <c r="B462" s="3" cm="1">
        <f t="array" ref="B462">SUMPRODUCT((ISNUMBER(MATCH(ESTIMATE!$L$6:$L$205,A462,0)))*(ESTIMATE!$M$6:$M$205)*(ESTIMATE!$A$6:$A$205))</f>
        <v>0</v>
      </c>
      <c r="C462" s="100">
        <v>24.07</v>
      </c>
      <c r="D462" s="97">
        <f t="shared" si="7"/>
        <v>0</v>
      </c>
    </row>
    <row r="463" spans="1:4" ht="15">
      <c r="A463" s="99" t="s">
        <v>554</v>
      </c>
      <c r="B463" s="3" cm="1">
        <f t="array" ref="B463">SUMPRODUCT((ISNUMBER(MATCH(ESTIMATE!$L$6:$L$205,A463,0)))*(ESTIMATE!$M$6:$M$205)*(ESTIMATE!$A$6:$A$205))</f>
        <v>0</v>
      </c>
      <c r="C463" s="100">
        <v>49.17</v>
      </c>
      <c r="D463" s="97">
        <f t="shared" si="7"/>
        <v>0</v>
      </c>
    </row>
    <row r="464" spans="1:4" ht="15">
      <c r="A464" s="99" t="s">
        <v>556</v>
      </c>
      <c r="B464" s="3" cm="1">
        <f t="array" ref="B464">SUMPRODUCT((ISNUMBER(MATCH(ESTIMATE!$L$6:$L$205,A464,0)))*(ESTIMATE!$M$6:$M$205)*(ESTIMATE!$A$6:$A$205))</f>
        <v>0</v>
      </c>
      <c r="C464" s="100">
        <v>52.2</v>
      </c>
      <c r="D464" s="97">
        <f t="shared" si="7"/>
        <v>0</v>
      </c>
    </row>
    <row r="465" spans="1:4" ht="15">
      <c r="A465" s="99" t="s">
        <v>558</v>
      </c>
      <c r="B465" s="3" cm="1">
        <f t="array" ref="B465">SUMPRODUCT((ISNUMBER(MATCH(ESTIMATE!$L$6:$L$205,A465,0)))*(ESTIMATE!$M$6:$M$205)*(ESTIMATE!$A$6:$A$205))</f>
        <v>0</v>
      </c>
      <c r="C465" s="100">
        <v>55.07</v>
      </c>
      <c r="D465" s="97">
        <f t="shared" si="7"/>
        <v>0</v>
      </c>
    </row>
    <row r="466" spans="1:4" ht="15">
      <c r="A466" s="99" t="s">
        <v>561</v>
      </c>
      <c r="B466" s="3" cm="1">
        <f t="array" ref="B466">SUMPRODUCT((ISNUMBER(MATCH(ESTIMATE!$L$6:$L$205,A466,0)))*(ESTIMATE!$M$6:$M$205)*(ESTIMATE!$A$6:$A$205))</f>
        <v>0</v>
      </c>
      <c r="C466" s="100">
        <v>57.92</v>
      </c>
      <c r="D466" s="97">
        <f t="shared" si="7"/>
        <v>0</v>
      </c>
    </row>
    <row r="467" spans="1:4" ht="15">
      <c r="A467" s="99" t="s">
        <v>563</v>
      </c>
      <c r="B467" s="3" cm="1">
        <f t="array" ref="B467">SUMPRODUCT((ISNUMBER(MATCH(ESTIMATE!$L$6:$L$205,A467,0)))*(ESTIMATE!$M$6:$M$205)*(ESTIMATE!$A$6:$A$205))</f>
        <v>0</v>
      </c>
      <c r="C467" s="100">
        <v>62.08</v>
      </c>
      <c r="D467" s="97">
        <f t="shared" si="7"/>
        <v>0</v>
      </c>
    </row>
    <row r="468" spans="1:4" ht="15">
      <c r="A468" s="99" t="s">
        <v>1269</v>
      </c>
      <c r="B468" s="3" cm="1">
        <f t="array" ref="B468">SUMPRODUCT((ISNUMBER(MATCH(ESTIMATE!$L$6:$L$205,A468,0)))*(ESTIMATE!$M$6:$M$205)*(ESTIMATE!$A$6:$A$205))</f>
        <v>0</v>
      </c>
      <c r="C468" s="100">
        <v>65.05</v>
      </c>
      <c r="D468" s="97">
        <f t="shared" si="7"/>
        <v>0</v>
      </c>
    </row>
    <row r="469" spans="1:4" ht="15">
      <c r="A469" s="99" t="s">
        <v>569</v>
      </c>
      <c r="B469" s="3" cm="1">
        <f t="array" ref="B469">SUMPRODUCT((ISNUMBER(MATCH(ESTIMATE!$L$6:$L$205,A469,0)))*(ESTIMATE!$M$6:$M$205)*(ESTIMATE!$A$6:$A$205))</f>
        <v>0</v>
      </c>
      <c r="C469" s="100">
        <v>67.48</v>
      </c>
      <c r="D469" s="97">
        <f t="shared" si="7"/>
        <v>0</v>
      </c>
    </row>
    <row r="470" spans="1:4" ht="15">
      <c r="A470" s="99" t="s">
        <v>1270</v>
      </c>
      <c r="B470" s="3" cm="1">
        <f t="array" ref="B470">SUMPRODUCT((ISNUMBER(MATCH(ESTIMATE!$L$6:$L$205,A470,0)))*(ESTIMATE!$M$6:$M$205)*(ESTIMATE!$A$6:$A$205))</f>
        <v>0</v>
      </c>
      <c r="C470" s="100">
        <v>73.83</v>
      </c>
      <c r="D470" s="97">
        <f t="shared" si="7"/>
        <v>0</v>
      </c>
    </row>
    <row r="471" spans="1:4" ht="15">
      <c r="A471" s="99" t="s">
        <v>656</v>
      </c>
      <c r="B471" s="3" cm="1">
        <f t="array" ref="B471">SUMPRODUCT((ISNUMBER(MATCH(ESTIMATE!$L$6:$L$205,A471,0)))*(ESTIMATE!$M$6:$M$205)*(ESTIMATE!$A$6:$A$205))</f>
        <v>0</v>
      </c>
      <c r="C471" s="100">
        <v>9.0299999999999994</v>
      </c>
      <c r="D471" s="97">
        <f t="shared" si="7"/>
        <v>0</v>
      </c>
    </row>
    <row r="472" spans="1:4" ht="15">
      <c r="A472" s="99" t="s">
        <v>657</v>
      </c>
      <c r="B472" s="3" cm="1">
        <f t="array" ref="B472">SUMPRODUCT((ISNUMBER(MATCH(ESTIMATE!$L$6:$L$205,A472,0)))*(ESTIMATE!$M$6:$M$205)*(ESTIMATE!$A$6:$A$205))</f>
        <v>0</v>
      </c>
      <c r="C472" s="100">
        <v>10.07</v>
      </c>
      <c r="D472" s="97">
        <f t="shared" si="7"/>
        <v>0</v>
      </c>
    </row>
    <row r="473" spans="1:4" ht="15">
      <c r="A473" s="99" t="s">
        <v>658</v>
      </c>
      <c r="B473" s="3" cm="1">
        <f t="array" ref="B473">SUMPRODUCT((ISNUMBER(MATCH(ESTIMATE!$L$6:$L$205,A473,0)))*(ESTIMATE!$M$6:$M$205)*(ESTIMATE!$A$6:$A$205))</f>
        <v>0</v>
      </c>
      <c r="C473" s="100">
        <v>10.17</v>
      </c>
      <c r="D473" s="97">
        <f t="shared" si="7"/>
        <v>0</v>
      </c>
    </row>
    <row r="474" spans="1:4" ht="15">
      <c r="A474" s="99" t="s">
        <v>1271</v>
      </c>
      <c r="B474" s="3" cm="1">
        <f t="array" ref="B474">SUMPRODUCT((ISNUMBER(MATCH(ESTIMATE!$L$6:$L$205,A474,0)))*(ESTIMATE!$M$6:$M$205)*(ESTIMATE!$A$6:$A$205))</f>
        <v>0</v>
      </c>
      <c r="C474" s="100">
        <v>10.1</v>
      </c>
      <c r="D474" s="97">
        <f t="shared" si="7"/>
        <v>0</v>
      </c>
    </row>
    <row r="475" spans="1:4" ht="15">
      <c r="A475" s="99" t="s">
        <v>1272</v>
      </c>
      <c r="B475" s="3" cm="1">
        <f t="array" ref="B475">SUMPRODUCT((ISNUMBER(MATCH(ESTIMATE!$L$6:$L$205,A475,0)))*(ESTIMATE!$M$6:$M$205)*(ESTIMATE!$A$6:$A$205))</f>
        <v>0</v>
      </c>
      <c r="C475" s="100">
        <v>10.42</v>
      </c>
      <c r="D475" s="97">
        <f t="shared" si="7"/>
        <v>0</v>
      </c>
    </row>
    <row r="476" spans="1:4" ht="15">
      <c r="A476" s="99" t="s">
        <v>659</v>
      </c>
      <c r="B476" s="3" cm="1">
        <f t="array" ref="B476">SUMPRODUCT((ISNUMBER(MATCH(ESTIMATE!$L$6:$L$205,A476,0)))*(ESTIMATE!$M$6:$M$205)*(ESTIMATE!$A$6:$A$205))</f>
        <v>0</v>
      </c>
      <c r="C476" s="100">
        <v>10.72</v>
      </c>
      <c r="D476" s="97">
        <f t="shared" si="7"/>
        <v>0</v>
      </c>
    </row>
    <row r="477" spans="1:4" ht="15">
      <c r="A477" s="99" t="s">
        <v>660</v>
      </c>
      <c r="B477" s="3" cm="1">
        <f t="array" ref="B477">SUMPRODUCT((ISNUMBER(MATCH(ESTIMATE!$L$6:$L$205,A477,0)))*(ESTIMATE!$M$6:$M$205)*(ESTIMATE!$A$6:$A$205))</f>
        <v>0</v>
      </c>
      <c r="C477" s="100">
        <v>11.03</v>
      </c>
      <c r="D477" s="97">
        <f t="shared" si="7"/>
        <v>0</v>
      </c>
    </row>
    <row r="478" spans="1:4" ht="15">
      <c r="A478" s="99" t="s">
        <v>661</v>
      </c>
      <c r="B478" s="3" cm="1">
        <f t="array" ref="B478">SUMPRODUCT((ISNUMBER(MATCH(ESTIMATE!$L$6:$L$205,A478,0)))*(ESTIMATE!$M$6:$M$205)*(ESTIMATE!$A$6:$A$205))</f>
        <v>0</v>
      </c>
      <c r="C478" s="100">
        <v>11.52</v>
      </c>
      <c r="D478" s="97">
        <f t="shared" si="7"/>
        <v>0</v>
      </c>
    </row>
    <row r="479" spans="1:4" ht="15">
      <c r="A479" s="99" t="s">
        <v>662</v>
      </c>
      <c r="B479" s="3" cm="1">
        <f t="array" ref="B479">SUMPRODUCT((ISNUMBER(MATCH(ESTIMATE!$L$6:$L$205,A479,0)))*(ESTIMATE!$M$6:$M$205)*(ESTIMATE!$A$6:$A$205))</f>
        <v>0</v>
      </c>
      <c r="C479" s="100">
        <v>11.8</v>
      </c>
      <c r="D479" s="97">
        <f t="shared" si="7"/>
        <v>0</v>
      </c>
    </row>
    <row r="480" spans="1:4" ht="15">
      <c r="A480" s="99" t="s">
        <v>663</v>
      </c>
      <c r="B480" s="3" cm="1">
        <f t="array" ref="B480">SUMPRODUCT((ISNUMBER(MATCH(ESTIMATE!$L$6:$L$205,A480,0)))*(ESTIMATE!$M$6:$M$205)*(ESTIMATE!$A$6:$A$205))</f>
        <v>0</v>
      </c>
      <c r="C480" s="100">
        <v>12.03</v>
      </c>
      <c r="D480" s="97">
        <f t="shared" si="7"/>
        <v>0</v>
      </c>
    </row>
    <row r="481" spans="1:4" ht="15">
      <c r="A481" s="99" t="s">
        <v>664</v>
      </c>
      <c r="B481" s="3" cm="1">
        <f t="array" ref="B481">SUMPRODUCT((ISNUMBER(MATCH(ESTIMATE!$L$6:$L$205,A481,0)))*(ESTIMATE!$M$6:$M$205)*(ESTIMATE!$A$6:$A$205))</f>
        <v>0</v>
      </c>
      <c r="C481" s="100">
        <v>12.33</v>
      </c>
      <c r="D481" s="97">
        <f t="shared" si="7"/>
        <v>0</v>
      </c>
    </row>
    <row r="482" spans="1:4" ht="15">
      <c r="A482" s="99" t="s">
        <v>665</v>
      </c>
      <c r="B482" s="3" cm="1">
        <f t="array" ref="B482">SUMPRODUCT((ISNUMBER(MATCH(ESTIMATE!$L$6:$L$205,A482,0)))*(ESTIMATE!$M$6:$M$205)*(ESTIMATE!$A$6:$A$205))</f>
        <v>0</v>
      </c>
      <c r="C482" s="100">
        <v>12.62</v>
      </c>
      <c r="D482" s="97">
        <f t="shared" si="7"/>
        <v>0</v>
      </c>
    </row>
    <row r="483" spans="1:4" ht="15">
      <c r="A483" s="99" t="s">
        <v>666</v>
      </c>
      <c r="B483" s="3" cm="1">
        <f t="array" ref="B483">SUMPRODUCT((ISNUMBER(MATCH(ESTIMATE!$L$6:$L$205,A483,0)))*(ESTIMATE!$M$6:$M$205)*(ESTIMATE!$A$6:$A$205))</f>
        <v>0</v>
      </c>
      <c r="C483" s="100">
        <v>12.87</v>
      </c>
      <c r="D483" s="97">
        <f t="shared" si="7"/>
        <v>0</v>
      </c>
    </row>
    <row r="484" spans="1:4" ht="15">
      <c r="A484" s="99" t="s">
        <v>667</v>
      </c>
      <c r="B484" s="3" cm="1">
        <f t="array" ref="B484">SUMPRODUCT((ISNUMBER(MATCH(ESTIMATE!$L$6:$L$205,A484,0)))*(ESTIMATE!$M$6:$M$205)*(ESTIMATE!$A$6:$A$205))</f>
        <v>0</v>
      </c>
      <c r="C484" s="100">
        <v>13.22</v>
      </c>
      <c r="D484" s="97">
        <f t="shared" si="7"/>
        <v>0</v>
      </c>
    </row>
    <row r="485" spans="1:4" ht="15">
      <c r="A485" s="99" t="s">
        <v>668</v>
      </c>
      <c r="B485" s="3" cm="1">
        <f t="array" ref="B485">SUMPRODUCT((ISNUMBER(MATCH(ESTIMATE!$L$6:$L$205,A485,0)))*(ESTIMATE!$M$6:$M$205)*(ESTIMATE!$A$6:$A$205))</f>
        <v>0</v>
      </c>
      <c r="C485" s="100">
        <v>13.52</v>
      </c>
      <c r="D485" s="97">
        <f t="shared" si="7"/>
        <v>0</v>
      </c>
    </row>
    <row r="486" spans="1:4" ht="15">
      <c r="A486" s="99" t="s">
        <v>669</v>
      </c>
      <c r="B486" s="3" cm="1">
        <f t="array" ref="B486">SUMPRODUCT((ISNUMBER(MATCH(ESTIMATE!$L$6:$L$205,A486,0)))*(ESTIMATE!$M$6:$M$205)*(ESTIMATE!$A$6:$A$205))</f>
        <v>0</v>
      </c>
      <c r="C486" s="100">
        <v>13.8</v>
      </c>
      <c r="D486" s="97">
        <f t="shared" si="7"/>
        <v>0</v>
      </c>
    </row>
    <row r="487" spans="1:4" ht="15">
      <c r="A487" s="99" t="s">
        <v>670</v>
      </c>
      <c r="B487" s="3" cm="1">
        <f t="array" ref="B487">SUMPRODUCT((ISNUMBER(MATCH(ESTIMATE!$L$6:$L$205,A487,0)))*(ESTIMATE!$M$6:$M$205)*(ESTIMATE!$A$6:$A$205))</f>
        <v>0</v>
      </c>
      <c r="C487" s="100">
        <v>13.95</v>
      </c>
      <c r="D487" s="97">
        <f t="shared" si="7"/>
        <v>0</v>
      </c>
    </row>
    <row r="488" spans="1:4" ht="15">
      <c r="A488" s="99" t="s">
        <v>671</v>
      </c>
      <c r="B488" s="3" cm="1">
        <f t="array" ref="B488">SUMPRODUCT((ISNUMBER(MATCH(ESTIMATE!$L$6:$L$205,A488,0)))*(ESTIMATE!$M$6:$M$205)*(ESTIMATE!$A$6:$A$205))</f>
        <v>0</v>
      </c>
      <c r="C488" s="100">
        <v>14.07</v>
      </c>
      <c r="D488" s="97">
        <f t="shared" si="7"/>
        <v>0</v>
      </c>
    </row>
    <row r="489" spans="1:4" ht="15">
      <c r="A489" s="99" t="s">
        <v>672</v>
      </c>
      <c r="B489" s="3" cm="1">
        <f t="array" ref="B489">SUMPRODUCT((ISNUMBER(MATCH(ESTIMATE!$L$6:$L$205,A489,0)))*(ESTIMATE!$M$6:$M$205)*(ESTIMATE!$A$6:$A$205))</f>
        <v>0</v>
      </c>
      <c r="C489" s="100">
        <v>14.38</v>
      </c>
      <c r="D489" s="97">
        <f t="shared" si="7"/>
        <v>0</v>
      </c>
    </row>
    <row r="490" spans="1:4" ht="15">
      <c r="A490" s="99" t="s">
        <v>673</v>
      </c>
      <c r="B490" s="3" cm="1">
        <f t="array" ref="B490">SUMPRODUCT((ISNUMBER(MATCH(ESTIMATE!$L$6:$L$205,A490,0)))*(ESTIMATE!$M$6:$M$205)*(ESTIMATE!$A$6:$A$205))</f>
        <v>0</v>
      </c>
      <c r="C490" s="100">
        <v>14.67</v>
      </c>
      <c r="D490" s="97">
        <f t="shared" si="7"/>
        <v>0</v>
      </c>
    </row>
    <row r="491" spans="1:4" ht="15">
      <c r="A491" s="99" t="s">
        <v>674</v>
      </c>
      <c r="B491" s="3" cm="1">
        <f t="array" ref="B491">SUMPRODUCT((ISNUMBER(MATCH(ESTIMATE!$L$6:$L$205,A491,0)))*(ESTIMATE!$M$6:$M$205)*(ESTIMATE!$A$6:$A$205))</f>
        <v>0</v>
      </c>
      <c r="C491" s="100">
        <v>14.8</v>
      </c>
      <c r="D491" s="97">
        <f t="shared" si="7"/>
        <v>0</v>
      </c>
    </row>
    <row r="492" spans="1:4" ht="15">
      <c r="A492" s="99" t="s">
        <v>1273</v>
      </c>
      <c r="B492" s="3" cm="1">
        <f t="array" ref="B492">SUMPRODUCT((ISNUMBER(MATCH(ESTIMATE!$L$6:$L$205,A492,0)))*(ESTIMATE!$M$6:$M$205)*(ESTIMATE!$A$6:$A$205))</f>
        <v>0</v>
      </c>
      <c r="C492" s="100">
        <v>15.02</v>
      </c>
      <c r="D492" s="97">
        <f t="shared" si="7"/>
        <v>0</v>
      </c>
    </row>
    <row r="493" spans="1:4" ht="15">
      <c r="A493" s="99" t="s">
        <v>675</v>
      </c>
      <c r="B493" s="3" cm="1">
        <f t="array" ref="B493">SUMPRODUCT((ISNUMBER(MATCH(ESTIMATE!$L$6:$L$205,A493,0)))*(ESTIMATE!$M$6:$M$205)*(ESTIMATE!$A$6:$A$205))</f>
        <v>0</v>
      </c>
      <c r="C493" s="100">
        <v>15.17</v>
      </c>
      <c r="D493" s="97">
        <f t="shared" si="7"/>
        <v>0</v>
      </c>
    </row>
    <row r="494" spans="1:4" ht="15">
      <c r="A494" s="99" t="s">
        <v>676</v>
      </c>
      <c r="B494" s="3" cm="1">
        <f t="array" ref="B494">SUMPRODUCT((ISNUMBER(MATCH(ESTIMATE!$L$6:$L$205,A494,0)))*(ESTIMATE!$M$6:$M$205)*(ESTIMATE!$A$6:$A$205))</f>
        <v>0</v>
      </c>
      <c r="C494" s="100">
        <v>15.28</v>
      </c>
      <c r="D494" s="97">
        <f t="shared" si="7"/>
        <v>0</v>
      </c>
    </row>
    <row r="495" spans="1:4" ht="15">
      <c r="A495" s="99" t="s">
        <v>677</v>
      </c>
      <c r="B495" s="3" cm="1">
        <f t="array" ref="B495">SUMPRODUCT((ISNUMBER(MATCH(ESTIMATE!$L$6:$L$205,A495,0)))*(ESTIMATE!$M$6:$M$205)*(ESTIMATE!$A$6:$A$205))</f>
        <v>0</v>
      </c>
      <c r="C495" s="100">
        <v>15.45</v>
      </c>
      <c r="D495" s="97">
        <f t="shared" si="7"/>
        <v>0</v>
      </c>
    </row>
    <row r="496" spans="1:4" ht="15">
      <c r="A496" s="99" t="s">
        <v>678</v>
      </c>
      <c r="B496" s="3" cm="1">
        <f t="array" ref="B496">SUMPRODUCT((ISNUMBER(MATCH(ESTIMATE!$L$6:$L$205,A496,0)))*(ESTIMATE!$M$6:$M$205)*(ESTIMATE!$A$6:$A$205))</f>
        <v>0</v>
      </c>
      <c r="C496" s="100">
        <v>15.55</v>
      </c>
      <c r="D496" s="97">
        <f t="shared" si="7"/>
        <v>0</v>
      </c>
    </row>
    <row r="497" spans="1:4" ht="15">
      <c r="A497" s="99" t="s">
        <v>679</v>
      </c>
      <c r="B497" s="3" cm="1">
        <f t="array" ref="B497">SUMPRODUCT((ISNUMBER(MATCH(ESTIMATE!$L$6:$L$205,A497,0)))*(ESTIMATE!$M$6:$M$205)*(ESTIMATE!$A$6:$A$205))</f>
        <v>0</v>
      </c>
      <c r="C497" s="100">
        <v>15.67</v>
      </c>
      <c r="D497" s="97">
        <f t="shared" si="7"/>
        <v>0</v>
      </c>
    </row>
    <row r="498" spans="1:4" ht="15">
      <c r="A498" s="99" t="s">
        <v>680</v>
      </c>
      <c r="B498" s="3" cm="1">
        <f t="array" ref="B498">SUMPRODUCT((ISNUMBER(MATCH(ESTIMATE!$L$6:$L$205,A498,0)))*(ESTIMATE!$M$6:$M$205)*(ESTIMATE!$A$6:$A$205))</f>
        <v>0</v>
      </c>
      <c r="C498" s="100">
        <v>15.72</v>
      </c>
      <c r="D498" s="97">
        <f t="shared" si="7"/>
        <v>0</v>
      </c>
    </row>
    <row r="499" spans="1:4" ht="15">
      <c r="A499" s="99" t="s">
        <v>681</v>
      </c>
      <c r="B499" s="3" cm="1">
        <f t="array" ref="B499">SUMPRODUCT((ISNUMBER(MATCH(ESTIMATE!$L$6:$L$205,A499,0)))*(ESTIMATE!$M$6:$M$205)*(ESTIMATE!$A$6:$A$205))</f>
        <v>0</v>
      </c>
      <c r="C499" s="100">
        <v>15.88</v>
      </c>
      <c r="D499" s="97">
        <f t="shared" si="7"/>
        <v>0</v>
      </c>
    </row>
    <row r="500" spans="1:4" ht="15">
      <c r="A500" s="99" t="s">
        <v>682</v>
      </c>
      <c r="B500" s="3" cm="1">
        <f t="array" ref="B500">SUMPRODUCT((ISNUMBER(MATCH(ESTIMATE!$L$6:$L$205,A500,0)))*(ESTIMATE!$M$6:$M$205)*(ESTIMATE!$A$6:$A$205))</f>
        <v>0</v>
      </c>
      <c r="C500" s="100">
        <v>15.98</v>
      </c>
      <c r="D500" s="97">
        <f t="shared" si="7"/>
        <v>0</v>
      </c>
    </row>
    <row r="501" spans="1:4" ht="15">
      <c r="A501" s="99" t="s">
        <v>683</v>
      </c>
      <c r="B501" s="3" cm="1">
        <f t="array" ref="B501">SUMPRODUCT((ISNUMBER(MATCH(ESTIMATE!$L$6:$L$205,A501,0)))*(ESTIMATE!$M$6:$M$205)*(ESTIMATE!$A$6:$A$205))</f>
        <v>0</v>
      </c>
      <c r="C501" s="100">
        <v>16.100000000000001</v>
      </c>
      <c r="D501" s="97">
        <f t="shared" si="7"/>
        <v>0</v>
      </c>
    </row>
    <row r="502" spans="1:4" ht="15">
      <c r="A502" s="99" t="s">
        <v>684</v>
      </c>
      <c r="B502" s="3" cm="1">
        <f t="array" ref="B502">SUMPRODUCT((ISNUMBER(MATCH(ESTIMATE!$L$6:$L$205,A502,0)))*(ESTIMATE!$M$6:$M$205)*(ESTIMATE!$A$6:$A$205))</f>
        <v>0</v>
      </c>
      <c r="C502" s="100">
        <v>16.32</v>
      </c>
      <c r="D502" s="97">
        <f t="shared" si="7"/>
        <v>0</v>
      </c>
    </row>
    <row r="503" spans="1:4" ht="15">
      <c r="A503" s="99" t="s">
        <v>685</v>
      </c>
      <c r="B503" s="3" cm="1">
        <f t="array" ref="B503">SUMPRODUCT((ISNUMBER(MATCH(ESTIMATE!$L$6:$L$205,A503,0)))*(ESTIMATE!$M$6:$M$205)*(ESTIMATE!$A$6:$A$205))</f>
        <v>0</v>
      </c>
      <c r="C503" s="100">
        <v>16.52</v>
      </c>
      <c r="D503" s="97">
        <f t="shared" si="7"/>
        <v>0</v>
      </c>
    </row>
    <row r="504" spans="1:4" ht="15">
      <c r="A504" s="99" t="s">
        <v>686</v>
      </c>
      <c r="B504" s="3" cm="1">
        <f t="array" ref="B504">SUMPRODUCT((ISNUMBER(MATCH(ESTIMATE!$L$6:$L$205,A504,0)))*(ESTIMATE!$M$6:$M$205)*(ESTIMATE!$A$6:$A$205))</f>
        <v>0</v>
      </c>
      <c r="C504" s="100">
        <v>16.73</v>
      </c>
      <c r="D504" s="97">
        <f t="shared" si="7"/>
        <v>0</v>
      </c>
    </row>
    <row r="505" spans="1:4" ht="15">
      <c r="A505" s="99" t="s">
        <v>687</v>
      </c>
      <c r="B505" s="3" cm="1">
        <f t="array" ref="B505">SUMPRODUCT((ISNUMBER(MATCH(ESTIMATE!$L$6:$L$205,A505,0)))*(ESTIMATE!$M$6:$M$205)*(ESTIMATE!$A$6:$A$205))</f>
        <v>0</v>
      </c>
      <c r="C505" s="100">
        <v>16.95</v>
      </c>
      <c r="D505" s="97">
        <f t="shared" si="7"/>
        <v>0</v>
      </c>
    </row>
    <row r="506" spans="1:4" ht="15">
      <c r="A506" s="99" t="s">
        <v>1274</v>
      </c>
      <c r="B506" s="3" cm="1">
        <f t="array" ref="B506">SUMPRODUCT((ISNUMBER(MATCH(ESTIMATE!$L$6:$L$205,A506,0)))*(ESTIMATE!$M$6:$M$205)*(ESTIMATE!$A$6:$A$205))</f>
        <v>0</v>
      </c>
      <c r="C506" s="100">
        <v>17.170000000000002</v>
      </c>
      <c r="D506" s="97">
        <f t="shared" si="7"/>
        <v>0</v>
      </c>
    </row>
    <row r="507" spans="1:4" ht="15">
      <c r="A507" s="99" t="s">
        <v>688</v>
      </c>
      <c r="B507" s="3" cm="1">
        <f t="array" ref="B507">SUMPRODUCT((ISNUMBER(MATCH(ESTIMATE!$L$6:$L$205,A507,0)))*(ESTIMATE!$M$6:$M$205)*(ESTIMATE!$A$6:$A$205))</f>
        <v>0</v>
      </c>
      <c r="C507" s="100">
        <v>17.37</v>
      </c>
      <c r="D507" s="97">
        <f t="shared" si="7"/>
        <v>0</v>
      </c>
    </row>
    <row r="508" spans="1:4" ht="15">
      <c r="A508" s="99" t="s">
        <v>689</v>
      </c>
      <c r="B508" s="3" cm="1">
        <f t="array" ref="B508">SUMPRODUCT((ISNUMBER(MATCH(ESTIMATE!$L$6:$L$205,A508,0)))*(ESTIMATE!$M$6:$M$205)*(ESTIMATE!$A$6:$A$205))</f>
        <v>0</v>
      </c>
      <c r="C508" s="100">
        <v>17.55</v>
      </c>
      <c r="D508" s="97">
        <f t="shared" si="7"/>
        <v>0</v>
      </c>
    </row>
    <row r="509" spans="1:4" ht="15">
      <c r="A509" s="99" t="s">
        <v>690</v>
      </c>
      <c r="B509" s="3" cm="1">
        <f t="array" ref="B509">SUMPRODUCT((ISNUMBER(MATCH(ESTIMATE!$L$6:$L$205,A509,0)))*(ESTIMATE!$M$6:$M$205)*(ESTIMATE!$A$6:$A$205))</f>
        <v>0</v>
      </c>
      <c r="C509" s="100">
        <v>17.7</v>
      </c>
      <c r="D509" s="97">
        <f t="shared" si="7"/>
        <v>0</v>
      </c>
    </row>
    <row r="510" spans="1:4" ht="15">
      <c r="A510" s="99" t="s">
        <v>691</v>
      </c>
      <c r="B510" s="3" cm="1">
        <f t="array" ref="B510">SUMPRODUCT((ISNUMBER(MATCH(ESTIMATE!$L$6:$L$205,A510,0)))*(ESTIMATE!$M$6:$M$205)*(ESTIMATE!$A$6:$A$205))</f>
        <v>0</v>
      </c>
      <c r="C510" s="100">
        <v>17.95</v>
      </c>
      <c r="D510" s="97">
        <f t="shared" si="7"/>
        <v>0</v>
      </c>
    </row>
    <row r="511" spans="1:4" ht="15">
      <c r="A511" s="99" t="s">
        <v>692</v>
      </c>
      <c r="B511" s="3" cm="1">
        <f t="array" ref="B511">SUMPRODUCT((ISNUMBER(MATCH(ESTIMATE!$L$6:$L$205,A511,0)))*(ESTIMATE!$M$6:$M$205)*(ESTIMATE!$A$6:$A$205))</f>
        <v>0</v>
      </c>
      <c r="C511" s="100">
        <v>18.18</v>
      </c>
      <c r="D511" s="97">
        <f t="shared" si="7"/>
        <v>0</v>
      </c>
    </row>
    <row r="512" spans="1:4" ht="15">
      <c r="A512" s="99" t="s">
        <v>693</v>
      </c>
      <c r="B512" s="3" cm="1">
        <f t="array" ref="B512">SUMPRODUCT((ISNUMBER(MATCH(ESTIMATE!$L$6:$L$205,A512,0)))*(ESTIMATE!$M$6:$M$205)*(ESTIMATE!$A$6:$A$205))</f>
        <v>0</v>
      </c>
      <c r="C512" s="100">
        <v>18.399999999999999</v>
      </c>
      <c r="D512" s="97">
        <f t="shared" si="7"/>
        <v>0</v>
      </c>
    </row>
    <row r="513" spans="1:4" ht="15">
      <c r="A513" s="99" t="s">
        <v>694</v>
      </c>
      <c r="B513" s="3" cm="1">
        <f t="array" ref="B513">SUMPRODUCT((ISNUMBER(MATCH(ESTIMATE!$L$6:$L$205,A513,0)))*(ESTIMATE!$M$6:$M$205)*(ESTIMATE!$A$6:$A$205))</f>
        <v>0</v>
      </c>
      <c r="C513" s="100">
        <v>18.670000000000002</v>
      </c>
      <c r="D513" s="97">
        <f t="shared" si="7"/>
        <v>0</v>
      </c>
    </row>
    <row r="514" spans="1:4" ht="15">
      <c r="A514" s="99" t="s">
        <v>695</v>
      </c>
      <c r="B514" s="3" cm="1">
        <f t="array" ref="B514">SUMPRODUCT((ISNUMBER(MATCH(ESTIMATE!$L$6:$L$205,A514,0)))*(ESTIMATE!$M$6:$M$205)*(ESTIMATE!$A$6:$A$205))</f>
        <v>0</v>
      </c>
      <c r="C514" s="100">
        <v>18.97</v>
      </c>
      <c r="D514" s="97">
        <f t="shared" si="7"/>
        <v>0</v>
      </c>
    </row>
    <row r="515" spans="1:4" ht="15">
      <c r="A515" s="99" t="s">
        <v>696</v>
      </c>
      <c r="B515" s="3" cm="1">
        <f t="array" ref="B515">SUMPRODUCT((ISNUMBER(MATCH(ESTIMATE!$L$6:$L$205,A515,0)))*(ESTIMATE!$M$6:$M$205)*(ESTIMATE!$A$6:$A$205))</f>
        <v>0</v>
      </c>
      <c r="C515" s="100">
        <v>19.18</v>
      </c>
      <c r="D515" s="97">
        <f t="shared" ref="D515:D578" si="8">SUM(B515*C515)</f>
        <v>0</v>
      </c>
    </row>
    <row r="516" spans="1:4" ht="15">
      <c r="A516" s="99" t="s">
        <v>697</v>
      </c>
      <c r="B516" s="3" cm="1">
        <f t="array" ref="B516">SUMPRODUCT((ISNUMBER(MATCH(ESTIMATE!$L$6:$L$205,A516,0)))*(ESTIMATE!$M$6:$M$205)*(ESTIMATE!$A$6:$A$205))</f>
        <v>0</v>
      </c>
      <c r="C516" s="100">
        <v>19.3</v>
      </c>
      <c r="D516" s="97">
        <f t="shared" si="8"/>
        <v>0</v>
      </c>
    </row>
    <row r="517" spans="1:4" ht="15">
      <c r="A517" s="99" t="s">
        <v>698</v>
      </c>
      <c r="B517" s="3" cm="1">
        <f t="array" ref="B517">SUMPRODUCT((ISNUMBER(MATCH(ESTIMATE!$L$6:$L$205,A517,0)))*(ESTIMATE!$M$6:$M$205)*(ESTIMATE!$A$6:$A$205))</f>
        <v>0</v>
      </c>
      <c r="C517" s="100">
        <v>19.57</v>
      </c>
      <c r="D517" s="97">
        <f t="shared" si="8"/>
        <v>0</v>
      </c>
    </row>
    <row r="518" spans="1:4" ht="15">
      <c r="A518" s="99" t="s">
        <v>699</v>
      </c>
      <c r="B518" s="3" cm="1">
        <f t="array" ref="B518">SUMPRODUCT((ISNUMBER(MATCH(ESTIMATE!$L$6:$L$205,A518,0)))*(ESTIMATE!$M$6:$M$205)*(ESTIMATE!$A$6:$A$205))</f>
        <v>0</v>
      </c>
      <c r="C518" s="100">
        <v>19.850000000000001</v>
      </c>
      <c r="D518" s="97">
        <f t="shared" si="8"/>
        <v>0</v>
      </c>
    </row>
    <row r="519" spans="1:4" ht="15">
      <c r="A519" s="99" t="s">
        <v>700</v>
      </c>
      <c r="B519" s="3" cm="1">
        <f t="array" ref="B519">SUMPRODUCT((ISNUMBER(MATCH(ESTIMATE!$L$6:$L$205,A519,0)))*(ESTIMATE!$M$6:$M$205)*(ESTIMATE!$A$6:$A$205))</f>
        <v>0</v>
      </c>
      <c r="C519" s="100">
        <v>20.100000000000001</v>
      </c>
      <c r="D519" s="97">
        <f t="shared" si="8"/>
        <v>0</v>
      </c>
    </row>
    <row r="520" spans="1:4" ht="15">
      <c r="A520" s="99" t="s">
        <v>701</v>
      </c>
      <c r="B520" s="3" cm="1">
        <f t="array" ref="B520">SUMPRODUCT((ISNUMBER(MATCH(ESTIMATE!$L$6:$L$205,A520,0)))*(ESTIMATE!$M$6:$M$205)*(ESTIMATE!$A$6:$A$205))</f>
        <v>0</v>
      </c>
      <c r="C520" s="100">
        <v>20.37</v>
      </c>
      <c r="D520" s="97">
        <f t="shared" si="8"/>
        <v>0</v>
      </c>
    </row>
    <row r="521" spans="1:4" ht="15">
      <c r="A521" s="99" t="s">
        <v>702</v>
      </c>
      <c r="B521" s="3" cm="1">
        <f t="array" ref="B521">SUMPRODUCT((ISNUMBER(MATCH(ESTIMATE!$L$6:$L$205,A521,0)))*(ESTIMATE!$M$6:$M$205)*(ESTIMATE!$A$6:$A$205))</f>
        <v>0</v>
      </c>
      <c r="C521" s="100">
        <v>20.65</v>
      </c>
      <c r="D521" s="97">
        <f t="shared" si="8"/>
        <v>0</v>
      </c>
    </row>
    <row r="522" spans="1:4" ht="15">
      <c r="A522" s="99" t="s">
        <v>703</v>
      </c>
      <c r="B522" s="3" cm="1">
        <f t="array" ref="B522">SUMPRODUCT((ISNUMBER(MATCH(ESTIMATE!$L$6:$L$205,A522,0)))*(ESTIMATE!$M$6:$M$205)*(ESTIMATE!$A$6:$A$205))</f>
        <v>0</v>
      </c>
      <c r="C522" s="100">
        <v>20.92</v>
      </c>
      <c r="D522" s="97">
        <f t="shared" si="8"/>
        <v>0</v>
      </c>
    </row>
    <row r="523" spans="1:4" ht="15">
      <c r="A523" s="99" t="s">
        <v>704</v>
      </c>
      <c r="B523" s="3" cm="1">
        <f t="array" ref="B523">SUMPRODUCT((ISNUMBER(MATCH(ESTIMATE!$L$6:$L$205,A523,0)))*(ESTIMATE!$M$6:$M$205)*(ESTIMATE!$A$6:$A$205))</f>
        <v>0</v>
      </c>
      <c r="C523" s="100">
        <v>21.45</v>
      </c>
      <c r="D523" s="97">
        <f t="shared" si="8"/>
        <v>0</v>
      </c>
    </row>
    <row r="524" spans="1:4" ht="15">
      <c r="A524" s="99" t="s">
        <v>705</v>
      </c>
      <c r="B524" s="3" cm="1">
        <f t="array" ref="B524">SUMPRODUCT((ISNUMBER(MATCH(ESTIMATE!$L$6:$L$205,A524,0)))*(ESTIMATE!$M$6:$M$205)*(ESTIMATE!$A$6:$A$205))</f>
        <v>0</v>
      </c>
      <c r="C524" s="100">
        <v>21.6</v>
      </c>
      <c r="D524" s="97">
        <f t="shared" si="8"/>
        <v>0</v>
      </c>
    </row>
    <row r="525" spans="1:4" ht="15">
      <c r="A525" s="99" t="s">
        <v>706</v>
      </c>
      <c r="B525" s="3" cm="1">
        <f t="array" ref="B525">SUMPRODUCT((ISNUMBER(MATCH(ESTIMATE!$L$6:$L$205,A525,0)))*(ESTIMATE!$M$6:$M$205)*(ESTIMATE!$A$6:$A$205))</f>
        <v>0</v>
      </c>
      <c r="C525" s="100">
        <v>21.87</v>
      </c>
      <c r="D525" s="97">
        <f t="shared" si="8"/>
        <v>0</v>
      </c>
    </row>
    <row r="526" spans="1:4" ht="15">
      <c r="A526" s="99" t="s">
        <v>707</v>
      </c>
      <c r="B526" s="3" cm="1">
        <f t="array" ref="B526">SUMPRODUCT((ISNUMBER(MATCH(ESTIMATE!$L$6:$L$205,A526,0)))*(ESTIMATE!$M$6:$M$205)*(ESTIMATE!$A$6:$A$205))</f>
        <v>0</v>
      </c>
      <c r="C526" s="100">
        <v>22</v>
      </c>
      <c r="D526" s="97">
        <f t="shared" si="8"/>
        <v>0</v>
      </c>
    </row>
    <row r="527" spans="1:4" ht="15">
      <c r="A527" s="99" t="s">
        <v>708</v>
      </c>
      <c r="B527" s="3" cm="1">
        <f t="array" ref="B527">SUMPRODUCT((ISNUMBER(MATCH(ESTIMATE!$L$6:$L$205,A527,0)))*(ESTIMATE!$M$6:$M$205)*(ESTIMATE!$A$6:$A$205))</f>
        <v>0</v>
      </c>
      <c r="C527" s="100">
        <v>22.35</v>
      </c>
      <c r="D527" s="97">
        <f>SUM(B527*C527)</f>
        <v>0</v>
      </c>
    </row>
    <row r="528" spans="1:4" ht="15">
      <c r="A528" s="99" t="s">
        <v>709</v>
      </c>
      <c r="B528" s="3" cm="1">
        <f t="array" ref="B528">SUMPRODUCT((ISNUMBER(MATCH(ESTIMATE!$L$6:$L$205,A528,0)))*(ESTIMATE!$M$6:$M$205)*(ESTIMATE!$A$6:$A$205))</f>
        <v>0</v>
      </c>
      <c r="C528" s="100">
        <v>22.5</v>
      </c>
      <c r="D528" s="97">
        <f t="shared" si="8"/>
        <v>0</v>
      </c>
    </row>
    <row r="529" spans="1:4" ht="15">
      <c r="A529" s="99" t="s">
        <v>710</v>
      </c>
      <c r="B529" s="3" cm="1">
        <f t="array" ref="B529">SUMPRODUCT((ISNUMBER(MATCH(ESTIMATE!$L$6:$L$205,A529,0)))*(ESTIMATE!$M$6:$M$205)*(ESTIMATE!$A$6:$A$205))</f>
        <v>0</v>
      </c>
      <c r="C529" s="100">
        <v>22.77</v>
      </c>
      <c r="D529" s="97">
        <f t="shared" si="8"/>
        <v>0</v>
      </c>
    </row>
    <row r="530" spans="1:4" ht="15">
      <c r="A530" s="99" t="s">
        <v>711</v>
      </c>
      <c r="B530" s="3" cm="1">
        <f t="array" ref="B530">SUMPRODUCT((ISNUMBER(MATCH(ESTIMATE!$L$6:$L$205,A530,0)))*(ESTIMATE!$M$6:$M$205)*(ESTIMATE!$A$6:$A$205))</f>
        <v>0</v>
      </c>
      <c r="C530" s="100">
        <v>22.97</v>
      </c>
      <c r="D530" s="97">
        <f t="shared" si="8"/>
        <v>0</v>
      </c>
    </row>
    <row r="531" spans="1:4" ht="15">
      <c r="A531" s="99" t="s">
        <v>712</v>
      </c>
      <c r="B531" s="3" cm="1">
        <f t="array" ref="B531">SUMPRODUCT((ISNUMBER(MATCH(ESTIMATE!$L$6:$L$205,A531,0)))*(ESTIMATE!$M$6:$M$205)*(ESTIMATE!$A$6:$A$205))</f>
        <v>0</v>
      </c>
      <c r="C531" s="100">
        <v>23.07</v>
      </c>
      <c r="D531" s="97">
        <f t="shared" si="8"/>
        <v>0</v>
      </c>
    </row>
    <row r="532" spans="1:4" ht="15">
      <c r="A532" s="99" t="s">
        <v>713</v>
      </c>
      <c r="B532" s="3" cm="1">
        <f t="array" ref="B532">SUMPRODUCT((ISNUMBER(MATCH(ESTIMATE!$L$6:$L$205,A532,0)))*(ESTIMATE!$M$6:$M$205)*(ESTIMATE!$A$6:$A$205))</f>
        <v>0</v>
      </c>
      <c r="C532" s="100">
        <v>23.32</v>
      </c>
      <c r="D532" s="97">
        <f t="shared" si="8"/>
        <v>0</v>
      </c>
    </row>
    <row r="533" spans="1:4" ht="15">
      <c r="A533" s="99" t="s">
        <v>714</v>
      </c>
      <c r="B533" s="3" cm="1">
        <f t="array" ref="B533">SUMPRODUCT((ISNUMBER(MATCH(ESTIMATE!$L$6:$L$205,A533,0)))*(ESTIMATE!$M$6:$M$205)*(ESTIMATE!$A$6:$A$205))</f>
        <v>0</v>
      </c>
      <c r="C533" s="100">
        <v>23.58</v>
      </c>
      <c r="D533" s="97">
        <f t="shared" si="8"/>
        <v>0</v>
      </c>
    </row>
    <row r="534" spans="1:4" ht="15">
      <c r="A534" s="99" t="s">
        <v>715</v>
      </c>
      <c r="B534" s="3" cm="1">
        <f t="array" ref="B534">SUMPRODUCT((ISNUMBER(MATCH(ESTIMATE!$L$6:$L$205,A534,0)))*(ESTIMATE!$M$6:$M$205)*(ESTIMATE!$A$6:$A$205))</f>
        <v>0</v>
      </c>
      <c r="C534" s="100">
        <v>24.13</v>
      </c>
      <c r="D534" s="97">
        <f t="shared" si="8"/>
        <v>0</v>
      </c>
    </row>
    <row r="535" spans="1:4" ht="15">
      <c r="A535" s="99" t="s">
        <v>716</v>
      </c>
      <c r="B535" s="3" cm="1">
        <f t="array" ref="B535">SUMPRODUCT((ISNUMBER(MATCH(ESTIMATE!$L$6:$L$205,A535,0)))*(ESTIMATE!$M$6:$M$205)*(ESTIMATE!$A$6:$A$205))</f>
        <v>0</v>
      </c>
      <c r="C535" s="100">
        <v>24.43</v>
      </c>
      <c r="D535" s="97">
        <f t="shared" si="8"/>
        <v>0</v>
      </c>
    </row>
    <row r="536" spans="1:4" ht="15">
      <c r="A536" s="99" t="s">
        <v>717</v>
      </c>
      <c r="B536" s="3" cm="1">
        <f t="array" ref="B536">SUMPRODUCT((ISNUMBER(MATCH(ESTIMATE!$L$6:$L$205,A536,0)))*(ESTIMATE!$M$6:$M$205)*(ESTIMATE!$A$6:$A$205))</f>
        <v>0</v>
      </c>
      <c r="C536" s="100">
        <v>24.67</v>
      </c>
      <c r="D536" s="97">
        <f t="shared" si="8"/>
        <v>0</v>
      </c>
    </row>
    <row r="537" spans="1:4" ht="15">
      <c r="A537" s="99" t="s">
        <v>718</v>
      </c>
      <c r="B537" s="3" cm="1">
        <f t="array" ref="B537">SUMPRODUCT((ISNUMBER(MATCH(ESTIMATE!$L$6:$L$205,A537,0)))*(ESTIMATE!$M$6:$M$205)*(ESTIMATE!$A$6:$A$205))</f>
        <v>0</v>
      </c>
      <c r="C537" s="100">
        <v>24.95</v>
      </c>
      <c r="D537" s="97">
        <f t="shared" si="8"/>
        <v>0</v>
      </c>
    </row>
    <row r="538" spans="1:4" ht="15">
      <c r="A538" s="99" t="s">
        <v>719</v>
      </c>
      <c r="B538" s="3" cm="1">
        <f t="array" ref="B538">SUMPRODUCT((ISNUMBER(MATCH(ESTIMATE!$L$6:$L$205,A538,0)))*(ESTIMATE!$M$6:$M$205)*(ESTIMATE!$A$6:$A$205))</f>
        <v>0</v>
      </c>
      <c r="C538" s="100">
        <v>25.2</v>
      </c>
      <c r="D538" s="97">
        <f t="shared" si="8"/>
        <v>0</v>
      </c>
    </row>
    <row r="539" spans="1:4" ht="15">
      <c r="A539" s="99" t="s">
        <v>720</v>
      </c>
      <c r="B539" s="3" cm="1">
        <f t="array" ref="B539">SUMPRODUCT((ISNUMBER(MATCH(ESTIMATE!$L$6:$L$205,A539,0)))*(ESTIMATE!$M$6:$M$205)*(ESTIMATE!$A$6:$A$205))</f>
        <v>0</v>
      </c>
      <c r="C539" s="100">
        <v>25.32</v>
      </c>
      <c r="D539" s="97">
        <f t="shared" si="8"/>
        <v>0</v>
      </c>
    </row>
    <row r="540" spans="1:4" ht="15">
      <c r="A540" s="99" t="s">
        <v>721</v>
      </c>
      <c r="B540" s="3" cm="1">
        <f t="array" ref="B540">SUMPRODUCT((ISNUMBER(MATCH(ESTIMATE!$L$6:$L$205,A540,0)))*(ESTIMATE!$M$6:$M$205)*(ESTIMATE!$A$6:$A$205))</f>
        <v>0</v>
      </c>
      <c r="C540" s="100">
        <v>25.58</v>
      </c>
      <c r="D540" s="97">
        <f t="shared" si="8"/>
        <v>0</v>
      </c>
    </row>
    <row r="541" spans="1:4" ht="15">
      <c r="A541" s="99" t="s">
        <v>632</v>
      </c>
      <c r="B541" s="3" cm="1">
        <f t="array" ref="B541">SUMPRODUCT((ISNUMBER(MATCH(ESTIMATE!$L$6:$L$205,A541,0)))*(ESTIMATE!$M$6:$M$205)*(ESTIMATE!$A$6:$A$205))</f>
        <v>0</v>
      </c>
      <c r="C541" s="100">
        <v>25.75</v>
      </c>
      <c r="D541" s="97">
        <f t="shared" si="8"/>
        <v>0</v>
      </c>
    </row>
    <row r="542" spans="1:4" ht="15">
      <c r="A542" s="99" t="s">
        <v>633</v>
      </c>
      <c r="B542" s="3" cm="1">
        <f t="array" ref="B542">SUMPRODUCT((ISNUMBER(MATCH(ESTIMATE!$L$6:$L$205,A542,0)))*(ESTIMATE!$M$6:$M$205)*(ESTIMATE!$A$6:$A$205))</f>
        <v>0</v>
      </c>
      <c r="C542" s="100">
        <v>26.28</v>
      </c>
      <c r="D542" s="97">
        <f t="shared" si="8"/>
        <v>0</v>
      </c>
    </row>
    <row r="543" spans="1:4" ht="15">
      <c r="A543" s="99" t="s">
        <v>634</v>
      </c>
      <c r="B543" s="3" cm="1">
        <f t="array" ref="B543">SUMPRODUCT((ISNUMBER(MATCH(ESTIMATE!$L$6:$L$205,A543,0)))*(ESTIMATE!$M$6:$M$205)*(ESTIMATE!$A$6:$A$205))</f>
        <v>0</v>
      </c>
      <c r="C543" s="100">
        <v>26.82</v>
      </c>
      <c r="D543" s="97">
        <f t="shared" si="8"/>
        <v>0</v>
      </c>
    </row>
    <row r="544" spans="1:4" ht="15">
      <c r="A544" s="99" t="s">
        <v>635</v>
      </c>
      <c r="B544" s="3" cm="1">
        <f t="array" ref="B544">SUMPRODUCT((ISNUMBER(MATCH(ESTIMATE!$L$6:$L$205,A544,0)))*(ESTIMATE!$M$6:$M$205)*(ESTIMATE!$A$6:$A$205))</f>
        <v>0</v>
      </c>
      <c r="C544" s="100">
        <v>27.07</v>
      </c>
      <c r="D544" s="97">
        <f t="shared" si="8"/>
        <v>0</v>
      </c>
    </row>
    <row r="545" spans="1:4" ht="15">
      <c r="A545" s="99" t="s">
        <v>636</v>
      </c>
      <c r="B545" s="3" cm="1">
        <f t="array" ref="B545">SUMPRODUCT((ISNUMBER(MATCH(ESTIMATE!$L$6:$L$205,A545,0)))*(ESTIMATE!$M$6:$M$205)*(ESTIMATE!$A$6:$A$205))</f>
        <v>0</v>
      </c>
      <c r="C545" s="100">
        <v>27.83</v>
      </c>
      <c r="D545" s="97">
        <f t="shared" si="8"/>
        <v>0</v>
      </c>
    </row>
    <row r="546" spans="1:4" ht="15">
      <c r="A546" s="99" t="s">
        <v>637</v>
      </c>
      <c r="B546" s="3" cm="1">
        <f t="array" ref="B546">SUMPRODUCT((ISNUMBER(MATCH(ESTIMATE!$L$6:$L$205,A546,0)))*(ESTIMATE!$M$6:$M$205)*(ESTIMATE!$A$6:$A$205))</f>
        <v>0</v>
      </c>
      <c r="C546" s="100">
        <v>28.97</v>
      </c>
      <c r="D546" s="97">
        <f t="shared" si="8"/>
        <v>0</v>
      </c>
    </row>
    <row r="547" spans="1:4" ht="15">
      <c r="A547" s="99" t="s">
        <v>638</v>
      </c>
      <c r="B547" s="3" cm="1">
        <f t="array" ref="B547">SUMPRODUCT((ISNUMBER(MATCH(ESTIMATE!$L$6:$L$205,A547,0)))*(ESTIMATE!$M$6:$M$205)*(ESTIMATE!$A$6:$A$205))</f>
        <v>0</v>
      </c>
      <c r="C547" s="100">
        <v>29.13</v>
      </c>
      <c r="D547" s="97">
        <f t="shared" si="8"/>
        <v>0</v>
      </c>
    </row>
    <row r="548" spans="1:4" ht="15">
      <c r="A548" s="99" t="s">
        <v>639</v>
      </c>
      <c r="B548" s="3" cm="1">
        <f t="array" ref="B548">SUMPRODUCT((ISNUMBER(MATCH(ESTIMATE!$L$6:$L$205,A548,0)))*(ESTIMATE!$M$6:$M$205)*(ESTIMATE!$A$6:$A$205))</f>
        <v>0</v>
      </c>
      <c r="C548" s="100">
        <v>29.3</v>
      </c>
      <c r="D548" s="97">
        <f t="shared" si="8"/>
        <v>0</v>
      </c>
    </row>
    <row r="549" spans="1:4" ht="15">
      <c r="A549" s="99" t="s">
        <v>640</v>
      </c>
      <c r="B549" s="3" cm="1">
        <f t="array" ref="B549">SUMPRODUCT((ISNUMBER(MATCH(ESTIMATE!$L$6:$L$205,A549,0)))*(ESTIMATE!$M$6:$M$205)*(ESTIMATE!$A$6:$A$205))</f>
        <v>0</v>
      </c>
      <c r="C549" s="100">
        <v>29.55</v>
      </c>
      <c r="D549" s="97">
        <f t="shared" si="8"/>
        <v>0</v>
      </c>
    </row>
    <row r="550" spans="1:4" ht="15">
      <c r="A550" s="99" t="s">
        <v>641</v>
      </c>
      <c r="B550" s="3" cm="1">
        <f t="array" ref="B550">SUMPRODUCT((ISNUMBER(MATCH(ESTIMATE!$L$6:$L$205,A550,0)))*(ESTIMATE!$M$6:$M$205)*(ESTIMATE!$A$6:$A$205))</f>
        <v>0</v>
      </c>
      <c r="C550" s="100">
        <v>30.57</v>
      </c>
      <c r="D550" s="97">
        <f t="shared" si="8"/>
        <v>0</v>
      </c>
    </row>
    <row r="551" spans="1:4" ht="15">
      <c r="A551" s="99" t="s">
        <v>1275</v>
      </c>
      <c r="B551" s="3" cm="1">
        <f t="array" ref="B551">SUMPRODUCT((ISNUMBER(MATCH(ESTIMATE!$L$6:$L$205,A551,0)))*(ESTIMATE!$M$6:$M$205)*(ESTIMATE!$A$6:$A$205))</f>
        <v>0</v>
      </c>
      <c r="C551" s="100">
        <v>31.37</v>
      </c>
      <c r="D551" s="97">
        <f t="shared" si="8"/>
        <v>0</v>
      </c>
    </row>
    <row r="552" spans="1:4" ht="15">
      <c r="A552" s="99" t="s">
        <v>642</v>
      </c>
      <c r="B552" s="3" cm="1">
        <f t="array" ref="B552">SUMPRODUCT((ISNUMBER(MATCH(ESTIMATE!$L$6:$L$205,A552,0)))*(ESTIMATE!$M$6:$M$205)*(ESTIMATE!$A$6:$A$205))</f>
        <v>0</v>
      </c>
      <c r="C552" s="100">
        <v>31.63</v>
      </c>
      <c r="D552" s="97">
        <f t="shared" si="8"/>
        <v>0</v>
      </c>
    </row>
    <row r="553" spans="1:4" ht="15">
      <c r="A553" s="99" t="s">
        <v>1276</v>
      </c>
      <c r="B553" s="3" cm="1">
        <f t="array" ref="B553">SUMPRODUCT((ISNUMBER(MATCH(ESTIMATE!$L$6:$L$205,A553,0)))*(ESTIMATE!$M$6:$M$205)*(ESTIMATE!$A$6:$A$205))</f>
        <v>0</v>
      </c>
      <c r="C553" s="101"/>
      <c r="D553" s="97">
        <f t="shared" si="8"/>
        <v>0</v>
      </c>
    </row>
    <row r="554" spans="1:4" ht="15">
      <c r="A554" s="99" t="s">
        <v>643</v>
      </c>
      <c r="B554" s="3" cm="1">
        <f t="array" ref="B554">SUMPRODUCT((ISNUMBER(MATCH(ESTIMATE!$L$6:$L$205,A554,0)))*(ESTIMATE!$M$6:$M$205)*(ESTIMATE!$A$6:$A$205))</f>
        <v>0</v>
      </c>
      <c r="C554" s="100">
        <v>32.72</v>
      </c>
      <c r="D554" s="97">
        <f t="shared" si="8"/>
        <v>0</v>
      </c>
    </row>
    <row r="555" spans="1:4" ht="15">
      <c r="A555" s="99" t="s">
        <v>1277</v>
      </c>
      <c r="B555" s="3" cm="1">
        <f t="array" ref="B555">SUMPRODUCT((ISNUMBER(MATCH(ESTIMATE!$L$6:$L$205,A555,0)))*(ESTIMATE!$M$6:$M$205)*(ESTIMATE!$A$6:$A$205))</f>
        <v>0</v>
      </c>
      <c r="C555" s="100">
        <v>34.32</v>
      </c>
      <c r="D555" s="97">
        <f t="shared" si="8"/>
        <v>0</v>
      </c>
    </row>
    <row r="556" spans="1:4" ht="15">
      <c r="A556" s="99" t="s">
        <v>644</v>
      </c>
      <c r="B556" s="3" cm="1">
        <f t="array" ref="B556">SUMPRODUCT((ISNUMBER(MATCH(ESTIMATE!$L$6:$L$205,A556,0)))*(ESTIMATE!$M$6:$M$205)*(ESTIMATE!$A$6:$A$205))</f>
        <v>0</v>
      </c>
      <c r="C556" s="100">
        <v>34.97</v>
      </c>
      <c r="D556" s="97">
        <f t="shared" si="8"/>
        <v>0</v>
      </c>
    </row>
    <row r="557" spans="1:4" ht="15">
      <c r="A557" s="99" t="s">
        <v>645</v>
      </c>
      <c r="B557" s="3" cm="1">
        <f t="array" ref="B557">SUMPRODUCT((ISNUMBER(MATCH(ESTIMATE!$L$6:$L$205,A557,0)))*(ESTIMATE!$M$6:$M$205)*(ESTIMATE!$A$6:$A$205))</f>
        <v>0</v>
      </c>
      <c r="C557" s="100">
        <v>36</v>
      </c>
      <c r="D557" s="97">
        <f t="shared" si="8"/>
        <v>0</v>
      </c>
    </row>
    <row r="558" spans="1:4" ht="15">
      <c r="A558" s="99" t="s">
        <v>646</v>
      </c>
      <c r="B558" s="3" cm="1">
        <f t="array" ref="B558">SUMPRODUCT((ISNUMBER(MATCH(ESTIMATE!$L$6:$L$205,A558,0)))*(ESTIMATE!$M$6:$M$205)*(ESTIMATE!$A$6:$A$205))</f>
        <v>0</v>
      </c>
      <c r="C558" s="100">
        <v>37.020000000000003</v>
      </c>
      <c r="D558" s="97">
        <f t="shared" si="8"/>
        <v>0</v>
      </c>
    </row>
    <row r="559" spans="1:4" ht="15">
      <c r="A559" s="99" t="s">
        <v>1278</v>
      </c>
      <c r="B559" s="3" cm="1">
        <f t="array" ref="B559">SUMPRODUCT((ISNUMBER(MATCH(ESTIMATE!$L$6:$L$205,A559,0)))*(ESTIMATE!$M$6:$M$205)*(ESTIMATE!$A$6:$A$205))</f>
        <v>0</v>
      </c>
      <c r="C559" s="100">
        <v>38.33</v>
      </c>
      <c r="D559" s="97">
        <f t="shared" si="8"/>
        <v>0</v>
      </c>
    </row>
    <row r="560" spans="1:4" ht="15">
      <c r="A560" s="99" t="s">
        <v>647</v>
      </c>
      <c r="B560" s="3" cm="1">
        <f t="array" ref="B560">SUMPRODUCT((ISNUMBER(MATCH(ESTIMATE!$L$6:$L$205,A560,0)))*(ESTIMATE!$M$6:$M$205)*(ESTIMATE!$A$6:$A$205))</f>
        <v>0</v>
      </c>
      <c r="C560" s="100">
        <v>39</v>
      </c>
      <c r="D560" s="97">
        <f t="shared" si="8"/>
        <v>0</v>
      </c>
    </row>
    <row r="561" spans="1:4" ht="15">
      <c r="A561" s="99" t="s">
        <v>1279</v>
      </c>
      <c r="B561" s="3" cm="1">
        <f t="array" ref="B561">SUMPRODUCT((ISNUMBER(MATCH(ESTIMATE!$L$6:$L$205,A561,0)))*(ESTIMATE!$M$6:$M$205)*(ESTIMATE!$A$6:$A$205))</f>
        <v>0</v>
      </c>
      <c r="C561" s="101"/>
      <c r="D561" s="97">
        <f t="shared" si="8"/>
        <v>0</v>
      </c>
    </row>
    <row r="562" spans="1:4" ht="15">
      <c r="A562" s="99" t="s">
        <v>648</v>
      </c>
      <c r="B562" s="3" cm="1">
        <f t="array" ref="B562">SUMPRODUCT((ISNUMBER(MATCH(ESTIMATE!$L$6:$L$205,A562,0)))*(ESTIMATE!$M$6:$M$205)*(ESTIMATE!$A$6:$A$205))</f>
        <v>0</v>
      </c>
      <c r="C562" s="100">
        <v>40.229999999999997</v>
      </c>
      <c r="D562" s="97">
        <f t="shared" si="8"/>
        <v>0</v>
      </c>
    </row>
    <row r="563" spans="1:4" ht="15">
      <c r="A563" s="99" t="s">
        <v>649</v>
      </c>
      <c r="B563" s="3" cm="1">
        <f t="array" ref="B563">SUMPRODUCT((ISNUMBER(MATCH(ESTIMATE!$L$6:$L$205,A563,0)))*(ESTIMATE!$M$6:$M$205)*(ESTIMATE!$A$6:$A$205))</f>
        <v>0</v>
      </c>
      <c r="C563" s="100">
        <v>41.83</v>
      </c>
      <c r="D563" s="97">
        <f t="shared" si="8"/>
        <v>0</v>
      </c>
    </row>
    <row r="564" spans="1:4" ht="15">
      <c r="A564" s="99" t="s">
        <v>650</v>
      </c>
      <c r="B564" s="3" cm="1">
        <f t="array" ref="B564">SUMPRODUCT((ISNUMBER(MATCH(ESTIMATE!$L$6:$L$205,A564,0)))*(ESTIMATE!$M$6:$M$205)*(ESTIMATE!$A$6:$A$205))</f>
        <v>0</v>
      </c>
      <c r="C564" s="100">
        <v>43.98</v>
      </c>
      <c r="D564" s="97">
        <f t="shared" si="8"/>
        <v>0</v>
      </c>
    </row>
    <row r="565" spans="1:4" ht="15">
      <c r="A565" s="99" t="s">
        <v>651</v>
      </c>
      <c r="B565" s="3" cm="1">
        <f t="array" ref="B565">SUMPRODUCT((ISNUMBER(MATCH(ESTIMATE!$L$6:$L$205,A565,0)))*(ESTIMATE!$M$6:$M$205)*(ESTIMATE!$A$6:$A$205))</f>
        <v>0</v>
      </c>
      <c r="C565" s="100">
        <v>46.12</v>
      </c>
      <c r="D565" s="97">
        <f t="shared" si="8"/>
        <v>0</v>
      </c>
    </row>
    <row r="566" spans="1:4" ht="15">
      <c r="A566" s="99" t="s">
        <v>1280</v>
      </c>
      <c r="B566" s="3" cm="1">
        <f t="array" ref="B566">SUMPRODUCT((ISNUMBER(MATCH(ESTIMATE!$L$6:$L$205,A566,0)))*(ESTIMATE!$M$6:$M$205)*(ESTIMATE!$A$6:$A$205))</f>
        <v>0</v>
      </c>
      <c r="C566" s="101"/>
      <c r="D566" s="97">
        <f t="shared" si="8"/>
        <v>0</v>
      </c>
    </row>
    <row r="567" spans="1:4" ht="15">
      <c r="A567" s="99" t="s">
        <v>652</v>
      </c>
      <c r="B567" s="3" cm="1">
        <f t="array" ref="B567">SUMPRODUCT((ISNUMBER(MATCH(ESTIMATE!$L$6:$L$205,A567,0)))*(ESTIMATE!$M$6:$M$205)*(ESTIMATE!$A$6:$A$205))</f>
        <v>0</v>
      </c>
      <c r="C567" s="100">
        <v>49.88</v>
      </c>
      <c r="D567" s="97">
        <f t="shared" si="8"/>
        <v>0</v>
      </c>
    </row>
    <row r="568" spans="1:4" ht="15">
      <c r="A568" s="99" t="s">
        <v>653</v>
      </c>
      <c r="B568" s="3" cm="1">
        <f t="array" ref="B568">SUMPRODUCT((ISNUMBER(MATCH(ESTIMATE!$L$6:$L$205,A568,0)))*(ESTIMATE!$M$6:$M$205)*(ESTIMATE!$A$6:$A$205))</f>
        <v>0</v>
      </c>
      <c r="C568" s="100">
        <v>53.63</v>
      </c>
      <c r="D568" s="97">
        <f t="shared" si="8"/>
        <v>0</v>
      </c>
    </row>
    <row r="569" spans="1:4" ht="15">
      <c r="A569" s="99" t="s">
        <v>654</v>
      </c>
      <c r="B569" s="3" cm="1">
        <f t="array" ref="B569">SUMPRODUCT((ISNUMBER(MATCH(ESTIMATE!$L$6:$L$205,A569,0)))*(ESTIMATE!$M$6:$M$205)*(ESTIMATE!$A$6:$A$205))</f>
        <v>0</v>
      </c>
      <c r="C569" s="100">
        <v>56.97</v>
      </c>
      <c r="D569" s="97">
        <f t="shared" si="8"/>
        <v>0</v>
      </c>
    </row>
    <row r="570" spans="1:4" ht="15">
      <c r="A570" s="99" t="s">
        <v>1281</v>
      </c>
      <c r="B570" s="3" cm="1">
        <f t="array" ref="B570">SUMPRODUCT((ISNUMBER(MATCH(ESTIMATE!$L$6:$L$205,A570,0)))*(ESTIMATE!$M$6:$M$205)*(ESTIMATE!$A$6:$A$205))</f>
        <v>0</v>
      </c>
      <c r="C570" s="101"/>
      <c r="D570" s="97">
        <f t="shared" si="8"/>
        <v>0</v>
      </c>
    </row>
    <row r="571" spans="1:4" ht="15">
      <c r="A571" s="99" t="s">
        <v>1282</v>
      </c>
      <c r="B571" s="3" cm="1">
        <f t="array" ref="B571">SUMPRODUCT((ISNUMBER(MATCH(ESTIMATE!$L$6:$L$205,A571,0)))*(ESTIMATE!$M$6:$M$205)*(ESTIMATE!$A$6:$A$205))</f>
        <v>0</v>
      </c>
      <c r="C571" s="100">
        <v>56.97</v>
      </c>
      <c r="D571" s="97">
        <f t="shared" si="8"/>
        <v>0</v>
      </c>
    </row>
    <row r="572" spans="1:4" ht="15">
      <c r="A572" s="99" t="s">
        <v>655</v>
      </c>
      <c r="B572" s="3" cm="1">
        <f t="array" ref="B572">SUMPRODUCT((ISNUMBER(MATCH(ESTIMATE!$L$6:$L$205,A572,0)))*(ESTIMATE!$M$6:$M$205)*(ESTIMATE!$A$6:$A$205))</f>
        <v>0</v>
      </c>
      <c r="C572" s="100">
        <v>68.650000000000006</v>
      </c>
      <c r="D572" s="97">
        <f t="shared" si="8"/>
        <v>0</v>
      </c>
    </row>
    <row r="573" spans="1:4" ht="15">
      <c r="A573" s="99" t="s">
        <v>1283</v>
      </c>
      <c r="B573" s="3" cm="1">
        <f t="array" ref="B573">SUMPRODUCT((ISNUMBER(MATCH(ESTIMATE!$L$6:$L$205,A573,0)))*(ESTIMATE!$M$6:$M$205)*(ESTIMATE!$A$6:$A$205))</f>
        <v>0</v>
      </c>
      <c r="C573" s="100">
        <v>72.42</v>
      </c>
      <c r="D573" s="97">
        <f t="shared" si="8"/>
        <v>0</v>
      </c>
    </row>
    <row r="574" spans="1:4" ht="15">
      <c r="A574" s="99" t="s">
        <v>1284</v>
      </c>
      <c r="B574" s="3" cm="1">
        <f t="array" ref="B574">SUMPRODUCT((ISNUMBER(MATCH(ESTIMATE!$L$6:$L$205,A574,0)))*(ESTIMATE!$M$6:$M$205)*(ESTIMATE!$A$6:$A$205))</f>
        <v>0</v>
      </c>
      <c r="C574" s="100">
        <v>8.82</v>
      </c>
      <c r="D574" s="97">
        <f t="shared" si="8"/>
        <v>0</v>
      </c>
    </row>
    <row r="575" spans="1:4" ht="15">
      <c r="A575" s="99" t="s">
        <v>1285</v>
      </c>
      <c r="B575" s="3" cm="1">
        <f t="array" ref="B575">SUMPRODUCT((ISNUMBER(MATCH(ESTIMATE!$L$6:$L$205,A575,0)))*(ESTIMATE!$M$6:$M$205)*(ESTIMATE!$A$6:$A$205))</f>
        <v>0</v>
      </c>
      <c r="C575" s="100">
        <v>9.0500000000000007</v>
      </c>
      <c r="D575" s="97">
        <f t="shared" si="8"/>
        <v>0</v>
      </c>
    </row>
    <row r="576" spans="1:4" ht="15">
      <c r="A576" s="99" t="s">
        <v>1286</v>
      </c>
      <c r="B576" s="3" cm="1">
        <f t="array" ref="B576">SUMPRODUCT((ISNUMBER(MATCH(ESTIMATE!$L$6:$L$205,A576,0)))*(ESTIMATE!$M$6:$M$205)*(ESTIMATE!$A$6:$A$205))</f>
        <v>0</v>
      </c>
      <c r="C576" s="100">
        <v>9.48</v>
      </c>
      <c r="D576" s="97">
        <f t="shared" si="8"/>
        <v>0</v>
      </c>
    </row>
    <row r="577" spans="1:4" ht="15">
      <c r="A577" s="99" t="s">
        <v>1287</v>
      </c>
      <c r="B577" s="3" cm="1">
        <f t="array" ref="B577">SUMPRODUCT((ISNUMBER(MATCH(ESTIMATE!$L$6:$L$205,A577,0)))*(ESTIMATE!$M$6:$M$205)*(ESTIMATE!$A$6:$A$205))</f>
        <v>0</v>
      </c>
      <c r="C577" s="100">
        <v>9.68</v>
      </c>
      <c r="D577" s="97">
        <f t="shared" si="8"/>
        <v>0</v>
      </c>
    </row>
    <row r="578" spans="1:4" ht="15">
      <c r="A578" s="99" t="s">
        <v>1288</v>
      </c>
      <c r="B578" s="3" cm="1">
        <f t="array" ref="B578">SUMPRODUCT((ISNUMBER(MATCH(ESTIMATE!$L$6:$L$205,A578,0)))*(ESTIMATE!$M$6:$M$205)*(ESTIMATE!$A$6:$A$205))</f>
        <v>0</v>
      </c>
      <c r="C578" s="100">
        <v>10.119999999999999</v>
      </c>
      <c r="D578" s="97">
        <f t="shared" si="8"/>
        <v>0</v>
      </c>
    </row>
    <row r="579" spans="1:4" ht="15">
      <c r="A579" s="99" t="s">
        <v>1289</v>
      </c>
      <c r="B579" s="3" cm="1">
        <f t="array" ref="B579">SUMPRODUCT((ISNUMBER(MATCH(ESTIMATE!$L$6:$L$205,A579,0)))*(ESTIMATE!$M$6:$M$205)*(ESTIMATE!$A$6:$A$205))</f>
        <v>0</v>
      </c>
      <c r="C579" s="100">
        <v>10.33</v>
      </c>
      <c r="D579" s="97">
        <f t="shared" ref="D579:D642" si="9">SUM(B579*C579)</f>
        <v>0</v>
      </c>
    </row>
    <row r="580" spans="1:4" ht="15">
      <c r="A580" s="99" t="s">
        <v>1290</v>
      </c>
      <c r="B580" s="3" cm="1">
        <f t="array" ref="B580">SUMPRODUCT((ISNUMBER(MATCH(ESTIMATE!$L$6:$L$205,A580,0)))*(ESTIMATE!$M$6:$M$205)*(ESTIMATE!$A$6:$A$205))</f>
        <v>0</v>
      </c>
      <c r="C580" s="100">
        <v>10.98</v>
      </c>
      <c r="D580" s="97">
        <f t="shared" si="9"/>
        <v>0</v>
      </c>
    </row>
    <row r="581" spans="1:4" ht="15">
      <c r="A581" s="99" t="s">
        <v>1291</v>
      </c>
      <c r="B581" s="3" cm="1">
        <f t="array" ref="B581">SUMPRODUCT((ISNUMBER(MATCH(ESTIMATE!$L$6:$L$205,A581,0)))*(ESTIMATE!$M$6:$M$205)*(ESTIMATE!$A$6:$A$205))</f>
        <v>0</v>
      </c>
      <c r="C581" s="100">
        <v>11.42</v>
      </c>
      <c r="D581" s="97">
        <f t="shared" si="9"/>
        <v>0</v>
      </c>
    </row>
    <row r="582" spans="1:4" ht="15">
      <c r="A582" s="99" t="s">
        <v>1292</v>
      </c>
      <c r="B582" s="3" cm="1">
        <f t="array" ref="B582">SUMPRODUCT((ISNUMBER(MATCH(ESTIMATE!$L$6:$L$205,A582,0)))*(ESTIMATE!$M$6:$M$205)*(ESTIMATE!$A$6:$A$205))</f>
        <v>0</v>
      </c>
      <c r="C582" s="100">
        <v>11.85</v>
      </c>
      <c r="D582" s="97">
        <f t="shared" si="9"/>
        <v>0</v>
      </c>
    </row>
    <row r="583" spans="1:4" ht="15">
      <c r="A583" s="99" t="s">
        <v>1293</v>
      </c>
      <c r="B583" s="3" cm="1">
        <f t="array" ref="B583">SUMPRODUCT((ISNUMBER(MATCH(ESTIMATE!$L$6:$L$205,A583,0)))*(ESTIMATE!$M$6:$M$205)*(ESTIMATE!$A$6:$A$205))</f>
        <v>0</v>
      </c>
      <c r="C583" s="100">
        <v>12.28</v>
      </c>
      <c r="D583" s="97">
        <f t="shared" si="9"/>
        <v>0</v>
      </c>
    </row>
    <row r="584" spans="1:4" ht="15">
      <c r="A584" s="99" t="s">
        <v>1294</v>
      </c>
      <c r="B584" s="3" cm="1">
        <f t="array" ref="B584">SUMPRODUCT((ISNUMBER(MATCH(ESTIMATE!$L$6:$L$205,A584,0)))*(ESTIMATE!$M$6:$M$205)*(ESTIMATE!$A$6:$A$205))</f>
        <v>0</v>
      </c>
      <c r="C584" s="100">
        <v>12.48</v>
      </c>
      <c r="D584" s="97">
        <f t="shared" si="9"/>
        <v>0</v>
      </c>
    </row>
    <row r="585" spans="1:4" ht="15">
      <c r="A585" s="99" t="s">
        <v>1295</v>
      </c>
      <c r="B585" s="3" cm="1">
        <f t="array" ref="B585">SUMPRODUCT((ISNUMBER(MATCH(ESTIMATE!$L$6:$L$205,A585,0)))*(ESTIMATE!$M$6:$M$205)*(ESTIMATE!$A$6:$A$205))</f>
        <v>0</v>
      </c>
      <c r="C585" s="100">
        <v>12.93</v>
      </c>
      <c r="D585" s="97">
        <f t="shared" si="9"/>
        <v>0</v>
      </c>
    </row>
    <row r="586" spans="1:4" ht="15">
      <c r="A586" s="99" t="s">
        <v>1296</v>
      </c>
      <c r="B586" s="3" cm="1">
        <f t="array" ref="B586">SUMPRODUCT((ISNUMBER(MATCH(ESTIMATE!$L$6:$L$205,A586,0)))*(ESTIMATE!$M$6:$M$205)*(ESTIMATE!$A$6:$A$205))</f>
        <v>0</v>
      </c>
      <c r="C586" s="100">
        <v>13.35</v>
      </c>
      <c r="D586" s="97">
        <f t="shared" si="9"/>
        <v>0</v>
      </c>
    </row>
    <row r="587" spans="1:4" ht="15">
      <c r="A587" s="99" t="s">
        <v>1297</v>
      </c>
      <c r="B587" s="3" cm="1">
        <f t="array" ref="B587">SUMPRODUCT((ISNUMBER(MATCH(ESTIMATE!$L$6:$L$205,A587,0)))*(ESTIMATE!$M$6:$M$205)*(ESTIMATE!$A$6:$A$205))</f>
        <v>0</v>
      </c>
      <c r="C587" s="100">
        <v>14</v>
      </c>
      <c r="D587" s="97">
        <f t="shared" si="9"/>
        <v>0</v>
      </c>
    </row>
    <row r="588" spans="1:4" ht="15">
      <c r="A588" s="99" t="s">
        <v>1298</v>
      </c>
      <c r="B588" s="3" cm="1">
        <f t="array" ref="B588">SUMPRODUCT((ISNUMBER(MATCH(ESTIMATE!$L$6:$L$205,A588,0)))*(ESTIMATE!$M$6:$M$205)*(ESTIMATE!$A$6:$A$205))</f>
        <v>0</v>
      </c>
      <c r="C588" s="100">
        <v>14.43</v>
      </c>
      <c r="D588" s="97">
        <f t="shared" si="9"/>
        <v>0</v>
      </c>
    </row>
    <row r="589" spans="1:4" ht="15">
      <c r="A589" s="99" t="s">
        <v>1299</v>
      </c>
      <c r="B589" s="3" cm="1">
        <f t="array" ref="B589">SUMPRODUCT((ISNUMBER(MATCH(ESTIMATE!$L$6:$L$205,A589,0)))*(ESTIMATE!$M$6:$M$205)*(ESTIMATE!$A$6:$A$205))</f>
        <v>0</v>
      </c>
      <c r="C589" s="100">
        <v>15.08</v>
      </c>
      <c r="D589" s="97">
        <f t="shared" si="9"/>
        <v>0</v>
      </c>
    </row>
    <row r="590" spans="1:4" ht="15">
      <c r="A590" s="99" t="s">
        <v>1300</v>
      </c>
      <c r="B590" s="3" cm="1">
        <f t="array" ref="B590">SUMPRODUCT((ISNUMBER(MATCH(ESTIMATE!$L$6:$L$205,A590,0)))*(ESTIMATE!$M$6:$M$205)*(ESTIMATE!$A$6:$A$205))</f>
        <v>0</v>
      </c>
      <c r="C590" s="100">
        <v>15.93</v>
      </c>
      <c r="D590" s="97">
        <f t="shared" si="9"/>
        <v>0</v>
      </c>
    </row>
    <row r="591" spans="1:4" ht="15">
      <c r="A591" s="99" t="s">
        <v>1301</v>
      </c>
      <c r="B591" s="3" cm="1">
        <f t="array" ref="B591">SUMPRODUCT((ISNUMBER(MATCH(ESTIMATE!$L$6:$L$205,A591,0)))*(ESTIMATE!$M$6:$M$205)*(ESTIMATE!$A$6:$A$205))</f>
        <v>0</v>
      </c>
      <c r="C591" s="100">
        <v>16.8</v>
      </c>
      <c r="D591" s="97">
        <f t="shared" si="9"/>
        <v>0</v>
      </c>
    </row>
    <row r="592" spans="1:4" ht="15">
      <c r="A592" s="99" t="s">
        <v>1302</v>
      </c>
      <c r="B592" s="3" cm="1">
        <f t="array" ref="B592">SUMPRODUCT((ISNUMBER(MATCH(ESTIMATE!$L$6:$L$205,A592,0)))*(ESTIMATE!$M$6:$M$205)*(ESTIMATE!$A$6:$A$205))</f>
        <v>0</v>
      </c>
      <c r="C592" s="100">
        <v>17.88</v>
      </c>
      <c r="D592" s="97">
        <f t="shared" si="9"/>
        <v>0</v>
      </c>
    </row>
    <row r="593" spans="1:4" ht="15">
      <c r="A593" s="99" t="s">
        <v>1303</v>
      </c>
      <c r="B593" s="3" cm="1">
        <f t="array" ref="B593">SUMPRODUCT((ISNUMBER(MATCH(ESTIMATE!$L$6:$L$205,A593,0)))*(ESTIMATE!$M$6:$M$205)*(ESTIMATE!$A$6:$A$205))</f>
        <v>0</v>
      </c>
      <c r="C593" s="100">
        <v>19.149999999999999</v>
      </c>
      <c r="D593" s="97">
        <f t="shared" si="9"/>
        <v>0</v>
      </c>
    </row>
    <row r="594" spans="1:4" ht="15">
      <c r="A594" s="99" t="s">
        <v>1304</v>
      </c>
      <c r="B594" s="3" cm="1">
        <f t="array" ref="B594">SUMPRODUCT((ISNUMBER(MATCH(ESTIMATE!$L$6:$L$205,A594,0)))*(ESTIMATE!$M$6:$M$205)*(ESTIMATE!$A$6:$A$205))</f>
        <v>0</v>
      </c>
      <c r="C594" s="100">
        <v>20.67</v>
      </c>
      <c r="D594" s="97">
        <f t="shared" si="9"/>
        <v>0</v>
      </c>
    </row>
    <row r="595" spans="1:4" ht="15">
      <c r="A595" s="99" t="s">
        <v>1305</v>
      </c>
      <c r="B595" s="3" cm="1">
        <f t="array" ref="B595">SUMPRODUCT((ISNUMBER(MATCH(ESTIMATE!$L$6:$L$205,A595,0)))*(ESTIMATE!$M$6:$M$205)*(ESTIMATE!$A$6:$A$205))</f>
        <v>0</v>
      </c>
      <c r="C595" s="100">
        <v>21.75</v>
      </c>
      <c r="D595" s="97">
        <f t="shared" si="9"/>
        <v>0</v>
      </c>
    </row>
    <row r="596" spans="1:4" ht="15">
      <c r="A596" s="99" t="s">
        <v>1306</v>
      </c>
      <c r="B596" s="3" cm="1">
        <f t="array" ref="B596">SUMPRODUCT((ISNUMBER(MATCH(ESTIMATE!$L$6:$L$205,A596,0)))*(ESTIMATE!$M$6:$M$205)*(ESTIMATE!$A$6:$A$205))</f>
        <v>0</v>
      </c>
      <c r="C596" s="100">
        <v>23.05</v>
      </c>
      <c r="D596" s="97">
        <f t="shared" si="9"/>
        <v>0</v>
      </c>
    </row>
    <row r="597" spans="1:4" ht="15">
      <c r="A597" s="99" t="s">
        <v>1307</v>
      </c>
      <c r="B597" s="3" cm="1">
        <f t="array" ref="B597">SUMPRODUCT((ISNUMBER(MATCH(ESTIMATE!$L$6:$L$205,A597,0)))*(ESTIMATE!$M$6:$M$205)*(ESTIMATE!$A$6:$A$205))</f>
        <v>0</v>
      </c>
      <c r="C597" s="100">
        <v>24.35</v>
      </c>
      <c r="D597" s="97">
        <f t="shared" si="9"/>
        <v>0</v>
      </c>
    </row>
    <row r="598" spans="1:4" ht="15">
      <c r="A598" s="99" t="s">
        <v>1308</v>
      </c>
      <c r="B598" s="3" cm="1">
        <f t="array" ref="B598">SUMPRODUCT((ISNUMBER(MATCH(ESTIMATE!$L$6:$L$205,A598,0)))*(ESTIMATE!$M$6:$M$205)*(ESTIMATE!$A$6:$A$205))</f>
        <v>0</v>
      </c>
      <c r="C598" s="100">
        <v>26.48</v>
      </c>
      <c r="D598" s="97">
        <f t="shared" si="9"/>
        <v>0</v>
      </c>
    </row>
    <row r="599" spans="1:4" ht="15">
      <c r="A599" s="99" t="s">
        <v>1309</v>
      </c>
      <c r="B599" s="3" cm="1">
        <f t="array" ref="B599">SUMPRODUCT((ISNUMBER(MATCH(ESTIMATE!$L$6:$L$205,A599,0)))*(ESTIMATE!$M$6:$M$205)*(ESTIMATE!$A$6:$A$205))</f>
        <v>0</v>
      </c>
      <c r="C599" s="100">
        <v>28.22</v>
      </c>
      <c r="D599" s="97">
        <f t="shared" si="9"/>
        <v>0</v>
      </c>
    </row>
    <row r="600" spans="1:4" ht="15">
      <c r="A600" s="99" t="s">
        <v>1310</v>
      </c>
      <c r="B600" s="3" cm="1">
        <f t="array" ref="B600">SUMPRODUCT((ISNUMBER(MATCH(ESTIMATE!$L$6:$L$205,A600,0)))*(ESTIMATE!$M$6:$M$205)*(ESTIMATE!$A$6:$A$205))</f>
        <v>0</v>
      </c>
      <c r="C600" s="100">
        <v>30.15</v>
      </c>
      <c r="D600" s="97">
        <f t="shared" si="9"/>
        <v>0</v>
      </c>
    </row>
    <row r="601" spans="1:4" ht="15">
      <c r="A601" s="99" t="s">
        <v>1311</v>
      </c>
      <c r="B601" s="3" cm="1">
        <f t="array" ref="B601">SUMPRODUCT((ISNUMBER(MATCH(ESTIMATE!$L$6:$L$205,A601,0)))*(ESTIMATE!$M$6:$M$205)*(ESTIMATE!$A$6:$A$205))</f>
        <v>0</v>
      </c>
      <c r="C601" s="100">
        <v>31.87</v>
      </c>
      <c r="D601" s="97">
        <f t="shared" si="9"/>
        <v>0</v>
      </c>
    </row>
    <row r="602" spans="1:4" ht="15">
      <c r="A602" s="99" t="s">
        <v>1312</v>
      </c>
      <c r="B602" s="3" cm="1">
        <f t="array" ref="B602">SUMPRODUCT((ISNUMBER(MATCH(ESTIMATE!$L$6:$L$205,A602,0)))*(ESTIMATE!$M$6:$M$205)*(ESTIMATE!$A$6:$A$205))</f>
        <v>0</v>
      </c>
      <c r="C602" s="100">
        <v>33.82</v>
      </c>
      <c r="D602" s="97">
        <f t="shared" si="9"/>
        <v>0</v>
      </c>
    </row>
    <row r="603" spans="1:4" ht="15">
      <c r="A603" s="99" t="s">
        <v>1313</v>
      </c>
      <c r="B603" s="3" cm="1">
        <f t="array" ref="B603">SUMPRODUCT((ISNUMBER(MATCH(ESTIMATE!$L$6:$L$205,A603,0)))*(ESTIMATE!$M$6:$M$205)*(ESTIMATE!$A$6:$A$205))</f>
        <v>0</v>
      </c>
      <c r="C603" s="100">
        <v>8.4</v>
      </c>
      <c r="D603" s="97">
        <f t="shared" si="9"/>
        <v>0</v>
      </c>
    </row>
    <row r="604" spans="1:4" ht="15">
      <c r="A604" s="99" t="s">
        <v>193</v>
      </c>
      <c r="B604" s="3" cm="1">
        <f t="array" ref="B604">SUMPRODUCT((ISNUMBER(MATCH(ESTIMATE!$L$6:$L$205,A604,0)))*(ESTIMATE!$M$6:$M$205)*(ESTIMATE!$A$6:$A$205))</f>
        <v>0</v>
      </c>
      <c r="C604" s="100">
        <v>8.3800000000000008</v>
      </c>
      <c r="D604" s="97">
        <f t="shared" si="9"/>
        <v>0</v>
      </c>
    </row>
    <row r="605" spans="1:4" ht="15">
      <c r="A605" s="99" t="s">
        <v>194</v>
      </c>
      <c r="B605" s="3" cm="1">
        <f t="array" ref="B605">SUMPRODUCT((ISNUMBER(MATCH(ESTIMATE!$L$6:$L$205,A605,0)))*(ESTIMATE!$M$6:$M$205)*(ESTIMATE!$A$6:$A$205))</f>
        <v>0</v>
      </c>
      <c r="C605" s="100">
        <v>8.6</v>
      </c>
      <c r="D605" s="97">
        <f t="shared" si="9"/>
        <v>0</v>
      </c>
    </row>
    <row r="606" spans="1:4" ht="15">
      <c r="A606" s="99" t="s">
        <v>195</v>
      </c>
      <c r="B606" s="3" cm="1">
        <f t="array" ref="B606">SUMPRODUCT((ISNUMBER(MATCH(ESTIMATE!$L$6:$L$205,A606,0)))*(ESTIMATE!$M$6:$M$205)*(ESTIMATE!$A$6:$A$205))</f>
        <v>0</v>
      </c>
      <c r="C606" s="100">
        <v>8.8000000000000007</v>
      </c>
      <c r="D606" s="97">
        <f t="shared" si="9"/>
        <v>0</v>
      </c>
    </row>
    <row r="607" spans="1:4" ht="15">
      <c r="A607" s="99" t="s">
        <v>196</v>
      </c>
      <c r="B607" s="3" cm="1">
        <f t="array" ref="B607">SUMPRODUCT((ISNUMBER(MATCH(ESTIMATE!$L$6:$L$205,A607,0)))*(ESTIMATE!$M$6:$M$205)*(ESTIMATE!$A$6:$A$205))</f>
        <v>0</v>
      </c>
      <c r="C607" s="100">
        <v>8.98</v>
      </c>
      <c r="D607" s="97">
        <f t="shared" si="9"/>
        <v>0</v>
      </c>
    </row>
    <row r="608" spans="1:4" ht="15">
      <c r="A608" s="99" t="s">
        <v>197</v>
      </c>
      <c r="B608" s="3" cm="1">
        <f t="array" ref="B608">SUMPRODUCT((ISNUMBER(MATCH(ESTIMATE!$L$6:$L$205,A608,0)))*(ESTIMATE!$M$6:$M$205)*(ESTIMATE!$A$6:$A$205))</f>
        <v>0</v>
      </c>
      <c r="C608" s="100">
        <v>9.4499999999999993</v>
      </c>
      <c r="D608" s="97">
        <f t="shared" si="9"/>
        <v>0</v>
      </c>
    </row>
    <row r="609" spans="1:4" ht="15">
      <c r="A609" s="99" t="s">
        <v>198</v>
      </c>
      <c r="B609" s="3" cm="1">
        <f t="array" ref="B609">SUMPRODUCT((ISNUMBER(MATCH(ESTIMATE!$L$6:$L$205,A609,0)))*(ESTIMATE!$M$6:$M$205)*(ESTIMATE!$A$6:$A$205))</f>
        <v>0</v>
      </c>
      <c r="C609" s="100">
        <v>9.67</v>
      </c>
      <c r="D609" s="97">
        <f t="shared" si="9"/>
        <v>0</v>
      </c>
    </row>
    <row r="610" spans="1:4" ht="15">
      <c r="A610" s="99" t="s">
        <v>1314</v>
      </c>
      <c r="B610" s="3" cm="1">
        <f t="array" ref="B610">SUMPRODUCT((ISNUMBER(MATCH(ESTIMATE!$L$6:$L$205,A610,0)))*(ESTIMATE!$M$6:$M$205)*(ESTIMATE!$A$6:$A$205))</f>
        <v>0</v>
      </c>
      <c r="C610" s="101"/>
      <c r="D610" s="97">
        <f t="shared" si="9"/>
        <v>0</v>
      </c>
    </row>
    <row r="611" spans="1:4" ht="15">
      <c r="A611" s="99" t="s">
        <v>1315</v>
      </c>
      <c r="B611" s="3" cm="1">
        <f t="array" ref="B611">SUMPRODUCT((ISNUMBER(MATCH(ESTIMATE!$L$6:$L$205,A611,0)))*(ESTIMATE!$M$6:$M$205)*(ESTIMATE!$A$6:$A$205))</f>
        <v>0</v>
      </c>
      <c r="C611" s="100">
        <v>8.98</v>
      </c>
      <c r="D611" s="97">
        <f t="shared" si="9"/>
        <v>0</v>
      </c>
    </row>
    <row r="612" spans="1:4" ht="15">
      <c r="A612" s="99" t="s">
        <v>199</v>
      </c>
      <c r="B612" s="3" cm="1">
        <f t="array" ref="B612">SUMPRODUCT((ISNUMBER(MATCH(ESTIMATE!$L$6:$L$205,A612,0)))*(ESTIMATE!$M$6:$M$205)*(ESTIMATE!$A$6:$A$205))</f>
        <v>0</v>
      </c>
      <c r="C612" s="100">
        <v>10.08</v>
      </c>
      <c r="D612" s="97">
        <f t="shared" si="9"/>
        <v>0</v>
      </c>
    </row>
    <row r="613" spans="1:4" ht="15">
      <c r="A613" s="99" t="s">
        <v>200</v>
      </c>
      <c r="B613" s="3" cm="1">
        <f t="array" ref="B613">SUMPRODUCT((ISNUMBER(MATCH(ESTIMATE!$L$6:$L$205,A613,0)))*(ESTIMATE!$M$6:$M$205)*(ESTIMATE!$A$6:$A$205))</f>
        <v>0</v>
      </c>
      <c r="C613" s="100">
        <v>10.32</v>
      </c>
      <c r="D613" s="97">
        <f t="shared" si="9"/>
        <v>0</v>
      </c>
    </row>
    <row r="614" spans="1:4" ht="15">
      <c r="A614" s="99" t="s">
        <v>201</v>
      </c>
      <c r="B614" s="3" cm="1">
        <f t="array" ref="B614">SUMPRODUCT((ISNUMBER(MATCH(ESTIMATE!$L$6:$L$205,A614,0)))*(ESTIMATE!$M$6:$M$205)*(ESTIMATE!$A$6:$A$205))</f>
        <v>0</v>
      </c>
      <c r="C614" s="100">
        <v>10.95</v>
      </c>
      <c r="D614" s="97">
        <f t="shared" si="9"/>
        <v>0</v>
      </c>
    </row>
    <row r="615" spans="1:4" ht="15">
      <c r="A615" s="99" t="s">
        <v>202</v>
      </c>
      <c r="B615" s="3" cm="1">
        <f t="array" ref="B615">SUMPRODUCT((ISNUMBER(MATCH(ESTIMATE!$L$6:$L$205,A615,0)))*(ESTIMATE!$M$6:$M$205)*(ESTIMATE!$A$6:$A$205))</f>
        <v>0</v>
      </c>
      <c r="C615" s="100">
        <v>11.38</v>
      </c>
      <c r="D615" s="97">
        <f t="shared" si="9"/>
        <v>0</v>
      </c>
    </row>
    <row r="616" spans="1:4" ht="15">
      <c r="A616" s="99" t="s">
        <v>203</v>
      </c>
      <c r="B616" s="3" cm="1">
        <f t="array" ref="B616">SUMPRODUCT((ISNUMBER(MATCH(ESTIMATE!$L$6:$L$205,A616,0)))*(ESTIMATE!$M$6:$M$205)*(ESTIMATE!$A$6:$A$205))</f>
        <v>0</v>
      </c>
      <c r="C616" s="100">
        <v>11.8</v>
      </c>
      <c r="D616" s="97">
        <f t="shared" si="9"/>
        <v>0</v>
      </c>
    </row>
    <row r="617" spans="1:4" ht="15">
      <c r="A617" s="99" t="s">
        <v>204</v>
      </c>
      <c r="B617" s="3" cm="1">
        <f t="array" ref="B617">SUMPRODUCT((ISNUMBER(MATCH(ESTIMATE!$L$6:$L$205,A617,0)))*(ESTIMATE!$M$6:$M$205)*(ESTIMATE!$A$6:$A$205))</f>
        <v>0</v>
      </c>
      <c r="C617" s="100">
        <v>12.25</v>
      </c>
      <c r="D617" s="97">
        <f t="shared" si="9"/>
        <v>0</v>
      </c>
    </row>
    <row r="618" spans="1:4" ht="15">
      <c r="A618" s="99" t="s">
        <v>205</v>
      </c>
      <c r="B618" s="3" cm="1">
        <f t="array" ref="B618">SUMPRODUCT((ISNUMBER(MATCH(ESTIMATE!$L$6:$L$205,A618,0)))*(ESTIMATE!$M$6:$M$205)*(ESTIMATE!$A$6:$A$205))</f>
        <v>0</v>
      </c>
      <c r="C618" s="100">
        <v>12.47</v>
      </c>
      <c r="D618" s="97">
        <f t="shared" si="9"/>
        <v>0</v>
      </c>
    </row>
    <row r="619" spans="1:4" ht="15">
      <c r="A619" s="99" t="s">
        <v>1316</v>
      </c>
      <c r="B619" s="3" cm="1">
        <f t="array" ref="B619">SUMPRODUCT((ISNUMBER(MATCH(ESTIMATE!$L$6:$L$205,A619,0)))*(ESTIMATE!$M$6:$M$205)*(ESTIMATE!$A$6:$A$205))</f>
        <v>0</v>
      </c>
      <c r="C619" s="100">
        <v>12.67</v>
      </c>
      <c r="D619" s="97">
        <f t="shared" si="9"/>
        <v>0</v>
      </c>
    </row>
    <row r="620" spans="1:4" ht="15">
      <c r="A620" s="99" t="s">
        <v>206</v>
      </c>
      <c r="B620" s="3" cm="1">
        <f t="array" ref="B620">SUMPRODUCT((ISNUMBER(MATCH(ESTIMATE!$L$6:$L$205,A620,0)))*(ESTIMATE!$M$6:$M$205)*(ESTIMATE!$A$6:$A$205))</f>
        <v>0</v>
      </c>
      <c r="C620" s="100">
        <v>12.88</v>
      </c>
      <c r="D620" s="97">
        <f t="shared" si="9"/>
        <v>0</v>
      </c>
    </row>
    <row r="621" spans="1:4" ht="15">
      <c r="A621" s="99" t="s">
        <v>207</v>
      </c>
      <c r="B621" s="3" cm="1">
        <f t="array" ref="B621">SUMPRODUCT((ISNUMBER(MATCH(ESTIMATE!$L$6:$L$205,A621,0)))*(ESTIMATE!$M$6:$M$205)*(ESTIMATE!$A$6:$A$205))</f>
        <v>0</v>
      </c>
      <c r="C621" s="100">
        <v>13.32</v>
      </c>
      <c r="D621" s="97">
        <f t="shared" si="9"/>
        <v>0</v>
      </c>
    </row>
    <row r="622" spans="1:4" ht="15">
      <c r="A622" s="99" t="s">
        <v>208</v>
      </c>
      <c r="B622" s="3" cm="1">
        <f t="array" ref="B622">SUMPRODUCT((ISNUMBER(MATCH(ESTIMATE!$L$6:$L$205,A622,0)))*(ESTIMATE!$M$6:$M$205)*(ESTIMATE!$A$6:$A$205))</f>
        <v>0</v>
      </c>
      <c r="C622" s="100">
        <v>13.95</v>
      </c>
      <c r="D622" s="97">
        <f t="shared" si="9"/>
        <v>0</v>
      </c>
    </row>
    <row r="623" spans="1:4" ht="15">
      <c r="A623" s="99" t="s">
        <v>209</v>
      </c>
      <c r="B623" s="3" cm="1">
        <f t="array" ref="B623">SUMPRODUCT((ISNUMBER(MATCH(ESTIMATE!$L$6:$L$205,A623,0)))*(ESTIMATE!$M$6:$M$205)*(ESTIMATE!$A$6:$A$205))</f>
        <v>0</v>
      </c>
      <c r="C623" s="100">
        <v>14.4</v>
      </c>
      <c r="D623" s="97">
        <f t="shared" si="9"/>
        <v>0</v>
      </c>
    </row>
    <row r="624" spans="1:4" ht="15">
      <c r="A624" s="99" t="s">
        <v>210</v>
      </c>
      <c r="B624" s="3" cm="1">
        <f t="array" ref="B624">SUMPRODUCT((ISNUMBER(MATCH(ESTIMATE!$L$6:$L$205,A624,0)))*(ESTIMATE!$M$6:$M$205)*(ESTIMATE!$A$6:$A$205))</f>
        <v>0</v>
      </c>
      <c r="C624" s="100">
        <v>15.03</v>
      </c>
      <c r="D624" s="97">
        <f t="shared" si="9"/>
        <v>0</v>
      </c>
    </row>
    <row r="625" spans="1:4" ht="15">
      <c r="A625" s="99" t="s">
        <v>211</v>
      </c>
      <c r="B625" s="3" cm="1">
        <f t="array" ref="B625">SUMPRODUCT((ISNUMBER(MATCH(ESTIMATE!$L$6:$L$205,A625,0)))*(ESTIMATE!$M$6:$M$205)*(ESTIMATE!$A$6:$A$205))</f>
        <v>0</v>
      </c>
      <c r="C625" s="100">
        <v>15.9</v>
      </c>
      <c r="D625" s="97">
        <f t="shared" si="9"/>
        <v>0</v>
      </c>
    </row>
    <row r="626" spans="1:4" ht="15">
      <c r="A626" s="99" t="s">
        <v>212</v>
      </c>
      <c r="B626" s="3" cm="1">
        <f t="array" ref="B626">SUMPRODUCT((ISNUMBER(MATCH(ESTIMATE!$L$6:$L$205,A626,0)))*(ESTIMATE!$M$6:$M$205)*(ESTIMATE!$A$6:$A$205))</f>
        <v>0</v>
      </c>
      <c r="C626" s="100">
        <v>16.75</v>
      </c>
      <c r="D626" s="97">
        <f t="shared" si="9"/>
        <v>0</v>
      </c>
    </row>
    <row r="627" spans="1:4" ht="15">
      <c r="A627" s="99" t="s">
        <v>213</v>
      </c>
      <c r="B627" s="3" cm="1">
        <f t="array" ref="B627">SUMPRODUCT((ISNUMBER(MATCH(ESTIMATE!$L$6:$L$205,A627,0)))*(ESTIMATE!$M$6:$M$205)*(ESTIMATE!$A$6:$A$205))</f>
        <v>0</v>
      </c>
      <c r="C627" s="100">
        <v>17.829999999999998</v>
      </c>
      <c r="D627" s="97">
        <f t="shared" si="9"/>
        <v>0</v>
      </c>
    </row>
    <row r="628" spans="1:4" ht="15">
      <c r="A628" s="99" t="s">
        <v>1317</v>
      </c>
      <c r="B628" s="3" cm="1">
        <f t="array" ref="B628">SUMPRODUCT((ISNUMBER(MATCH(ESTIMATE!$L$6:$L$205,A628,0)))*(ESTIMATE!$M$6:$M$205)*(ESTIMATE!$A$6:$A$205))</f>
        <v>0</v>
      </c>
      <c r="C628" s="101"/>
      <c r="D628" s="97">
        <f t="shared" si="9"/>
        <v>0</v>
      </c>
    </row>
    <row r="629" spans="1:4" ht="15">
      <c r="A629" s="99" t="s">
        <v>214</v>
      </c>
      <c r="B629" s="3" cm="1">
        <f t="array" ref="B629">SUMPRODUCT((ISNUMBER(MATCH(ESTIMATE!$L$6:$L$205,A629,0)))*(ESTIMATE!$M$6:$M$205)*(ESTIMATE!$A$6:$A$205))</f>
        <v>0</v>
      </c>
      <c r="C629" s="100">
        <v>19.100000000000001</v>
      </c>
      <c r="D629" s="97">
        <f t="shared" si="9"/>
        <v>0</v>
      </c>
    </row>
    <row r="630" spans="1:4" ht="15">
      <c r="A630" s="99" t="s">
        <v>215</v>
      </c>
      <c r="B630" s="3" cm="1">
        <f t="array" ref="B630">SUMPRODUCT((ISNUMBER(MATCH(ESTIMATE!$L$6:$L$205,A630,0)))*(ESTIMATE!$M$6:$M$205)*(ESTIMATE!$A$6:$A$205))</f>
        <v>0</v>
      </c>
      <c r="C630" s="100">
        <v>20.6</v>
      </c>
      <c r="D630" s="97">
        <f t="shared" si="9"/>
        <v>0</v>
      </c>
    </row>
    <row r="631" spans="1:4" ht="15">
      <c r="A631" s="99" t="s">
        <v>216</v>
      </c>
      <c r="B631" s="3" cm="1">
        <f t="array" ref="B631">SUMPRODUCT((ISNUMBER(MATCH(ESTIMATE!$L$6:$L$205,A631,0)))*(ESTIMATE!$M$6:$M$205)*(ESTIMATE!$A$6:$A$205))</f>
        <v>0</v>
      </c>
      <c r="C631" s="100">
        <v>21.68</v>
      </c>
      <c r="D631" s="97">
        <f t="shared" si="9"/>
        <v>0</v>
      </c>
    </row>
    <row r="632" spans="1:4" ht="15">
      <c r="A632" s="99" t="s">
        <v>186</v>
      </c>
      <c r="B632" s="3" cm="1">
        <f t="array" ref="B632">SUMPRODUCT((ISNUMBER(MATCH(ESTIMATE!$L$6:$L$205,A632,0)))*(ESTIMATE!$M$6:$M$205)*(ESTIMATE!$A$6:$A$205))</f>
        <v>0</v>
      </c>
      <c r="C632" s="100">
        <v>22.98</v>
      </c>
      <c r="D632" s="97">
        <f t="shared" si="9"/>
        <v>0</v>
      </c>
    </row>
    <row r="633" spans="1:4" ht="15">
      <c r="A633" s="99" t="s">
        <v>187</v>
      </c>
      <c r="B633" s="3" cm="1">
        <f t="array" ref="B633">SUMPRODUCT((ISNUMBER(MATCH(ESTIMATE!$L$6:$L$205,A633,0)))*(ESTIMATE!$M$6:$M$205)*(ESTIMATE!$A$6:$A$205))</f>
        <v>0</v>
      </c>
      <c r="C633" s="100">
        <v>24.27</v>
      </c>
      <c r="D633" s="97">
        <f t="shared" si="9"/>
        <v>0</v>
      </c>
    </row>
    <row r="634" spans="1:4" ht="15">
      <c r="A634" s="99" t="s">
        <v>188</v>
      </c>
      <c r="B634" s="3" cm="1">
        <f t="array" ref="B634">SUMPRODUCT((ISNUMBER(MATCH(ESTIMATE!$L$6:$L$205,A634,0)))*(ESTIMATE!$M$6:$M$205)*(ESTIMATE!$A$6:$A$205))</f>
        <v>0</v>
      </c>
      <c r="C634" s="100">
        <v>26.42</v>
      </c>
      <c r="D634" s="97">
        <f t="shared" si="9"/>
        <v>0</v>
      </c>
    </row>
    <row r="635" spans="1:4" ht="15">
      <c r="A635" s="99" t="s">
        <v>189</v>
      </c>
      <c r="B635" s="3" cm="1">
        <f t="array" ref="B635">SUMPRODUCT((ISNUMBER(MATCH(ESTIMATE!$L$6:$L$205,A635,0)))*(ESTIMATE!$M$6:$M$205)*(ESTIMATE!$A$6:$A$205))</f>
        <v>0</v>
      </c>
      <c r="C635" s="100">
        <v>28.13</v>
      </c>
      <c r="D635" s="97">
        <f t="shared" si="9"/>
        <v>0</v>
      </c>
    </row>
    <row r="636" spans="1:4" ht="15">
      <c r="A636" s="99" t="s">
        <v>190</v>
      </c>
      <c r="B636" s="3" cm="1">
        <f t="array" ref="B636">SUMPRODUCT((ISNUMBER(MATCH(ESTIMATE!$L$6:$L$205,A636,0)))*(ESTIMATE!$M$6:$M$205)*(ESTIMATE!$A$6:$A$205))</f>
        <v>0</v>
      </c>
      <c r="C636" s="100">
        <v>30.07</v>
      </c>
      <c r="D636" s="97">
        <f t="shared" si="9"/>
        <v>0</v>
      </c>
    </row>
    <row r="637" spans="1:4" ht="15">
      <c r="A637" s="99" t="s">
        <v>191</v>
      </c>
      <c r="B637" s="3" cm="1">
        <f t="array" ref="B637">SUMPRODUCT((ISNUMBER(MATCH(ESTIMATE!$L$6:$L$205,A637,0)))*(ESTIMATE!$M$6:$M$205)*(ESTIMATE!$A$6:$A$205))</f>
        <v>0</v>
      </c>
      <c r="C637" s="100">
        <v>31.78</v>
      </c>
      <c r="D637" s="97">
        <f t="shared" si="9"/>
        <v>0</v>
      </c>
    </row>
    <row r="638" spans="1:4" ht="15">
      <c r="A638" s="99" t="s">
        <v>192</v>
      </c>
      <c r="B638" s="3" cm="1">
        <f t="array" ref="B638">SUMPRODUCT((ISNUMBER(MATCH(ESTIMATE!$L$6:$L$205,A638,0)))*(ESTIMATE!$M$6:$M$205)*(ESTIMATE!$A$6:$A$205))</f>
        <v>0</v>
      </c>
      <c r="C638" s="100">
        <v>33.72</v>
      </c>
      <c r="D638" s="97">
        <f t="shared" si="9"/>
        <v>0</v>
      </c>
    </row>
    <row r="639" spans="1:4" ht="15">
      <c r="A639" s="99" t="s">
        <v>1318</v>
      </c>
      <c r="B639" s="3" cm="1">
        <f t="array" ref="B639">SUMPRODUCT((ISNUMBER(MATCH(ESTIMATE!$L$6:$L$205,A639,0)))*(ESTIMATE!$M$6:$M$205)*(ESTIMATE!$A$6:$A$205))</f>
        <v>0</v>
      </c>
      <c r="C639" s="100">
        <v>35.950000000000003</v>
      </c>
      <c r="D639" s="97">
        <f t="shared" si="9"/>
        <v>0</v>
      </c>
    </row>
    <row r="640" spans="1:4" ht="15">
      <c r="A640" s="99" t="s">
        <v>1319</v>
      </c>
      <c r="B640" s="3" cm="1">
        <f t="array" ref="B640">SUMPRODUCT((ISNUMBER(MATCH(ESTIMATE!$L$6:$L$205,A640,0)))*(ESTIMATE!$M$6:$M$205)*(ESTIMATE!$A$6:$A$205))</f>
        <v>0</v>
      </c>
      <c r="C640" s="100">
        <v>26.48</v>
      </c>
      <c r="D640" s="97">
        <f t="shared" si="9"/>
        <v>0</v>
      </c>
    </row>
    <row r="641" spans="1:4" ht="15">
      <c r="A641" s="99" t="s">
        <v>1320</v>
      </c>
      <c r="B641" s="3" cm="1">
        <f t="array" ref="B641">SUMPRODUCT((ISNUMBER(MATCH(ESTIMATE!$L$6:$L$205,A641,0)))*(ESTIMATE!$M$6:$M$205)*(ESTIMATE!$A$6:$A$205))</f>
        <v>0</v>
      </c>
      <c r="C641" s="100">
        <v>28.87</v>
      </c>
      <c r="D641" s="97">
        <f t="shared" si="9"/>
        <v>0</v>
      </c>
    </row>
    <row r="642" spans="1:4" ht="15">
      <c r="A642" s="99" t="s">
        <v>1321</v>
      </c>
      <c r="B642" s="3" cm="1">
        <f t="array" ref="B642">SUMPRODUCT((ISNUMBER(MATCH(ESTIMATE!$L$6:$L$205,A642,0)))*(ESTIMATE!$M$6:$M$205)*(ESTIMATE!$A$6:$A$205))</f>
        <v>0</v>
      </c>
      <c r="C642" s="100">
        <v>32.729999999999997</v>
      </c>
      <c r="D642" s="97">
        <f t="shared" si="9"/>
        <v>0</v>
      </c>
    </row>
    <row r="643" spans="1:4" ht="15">
      <c r="A643" s="99" t="s">
        <v>1322</v>
      </c>
      <c r="B643" s="3" cm="1">
        <f t="array" ref="B643">SUMPRODUCT((ISNUMBER(MATCH(ESTIMATE!$L$6:$L$205,A643,0)))*(ESTIMATE!$M$6:$M$205)*(ESTIMATE!$A$6:$A$205))</f>
        <v>0</v>
      </c>
      <c r="C643" s="100">
        <v>34.880000000000003</v>
      </c>
      <c r="D643" s="97">
        <f t="shared" ref="D643:D654" si="10">SUM(B643*C643)</f>
        <v>0</v>
      </c>
    </row>
    <row r="644" spans="1:4" ht="15">
      <c r="A644" s="99" t="s">
        <v>1323</v>
      </c>
      <c r="B644" s="3" cm="1">
        <f t="array" ref="B644">SUMPRODUCT((ISNUMBER(MATCH(ESTIMATE!$L$6:$L$205,A644,0)))*(ESTIMATE!$M$6:$M$205)*(ESTIMATE!$A$6:$A$205))</f>
        <v>0</v>
      </c>
      <c r="C644" s="100">
        <v>37.049999999999997</v>
      </c>
      <c r="D644" s="97">
        <f t="shared" si="10"/>
        <v>0</v>
      </c>
    </row>
    <row r="645" spans="1:4" ht="15">
      <c r="A645" s="99" t="s">
        <v>1324</v>
      </c>
      <c r="B645" s="3" cm="1">
        <f t="array" ref="B645">SUMPRODUCT((ISNUMBER(MATCH(ESTIMATE!$L$6:$L$205,A645,0)))*(ESTIMATE!$M$6:$M$205)*(ESTIMATE!$A$6:$A$205))</f>
        <v>0</v>
      </c>
      <c r="C645" s="100">
        <v>39.200000000000003</v>
      </c>
      <c r="D645" s="97">
        <f t="shared" si="10"/>
        <v>0</v>
      </c>
    </row>
    <row r="646" spans="1:4" ht="15">
      <c r="A646" s="99" t="s">
        <v>1325</v>
      </c>
      <c r="B646" s="3" cm="1">
        <f t="array" ref="B646">SUMPRODUCT((ISNUMBER(MATCH(ESTIMATE!$L$6:$L$205,A646,0)))*(ESTIMATE!$M$6:$M$205)*(ESTIMATE!$A$6:$A$205))</f>
        <v>0</v>
      </c>
      <c r="C646" s="100">
        <v>41.8</v>
      </c>
      <c r="D646" s="97">
        <f t="shared" si="10"/>
        <v>0</v>
      </c>
    </row>
    <row r="647" spans="1:4" ht="15">
      <c r="A647" s="99" t="s">
        <v>1326</v>
      </c>
      <c r="B647" s="3" cm="1">
        <f t="array" ref="B647">SUMPRODUCT((ISNUMBER(MATCH(ESTIMATE!$L$6:$L$205,A647,0)))*(ESTIMATE!$M$6:$M$205)*(ESTIMATE!$A$6:$A$205))</f>
        <v>0</v>
      </c>
      <c r="C647" s="100">
        <v>45.03</v>
      </c>
      <c r="D647" s="97">
        <f t="shared" si="10"/>
        <v>0</v>
      </c>
    </row>
    <row r="648" spans="1:4" ht="15">
      <c r="A648" s="99" t="s">
        <v>1327</v>
      </c>
      <c r="B648" s="3" cm="1">
        <f t="array" ref="B648">SUMPRODUCT((ISNUMBER(MATCH(ESTIMATE!$L$6:$L$205,A648,0)))*(ESTIMATE!$M$6:$M$205)*(ESTIMATE!$A$6:$A$205))</f>
        <v>0</v>
      </c>
      <c r="C648" s="100">
        <v>46.73</v>
      </c>
      <c r="D648" s="97">
        <f t="shared" si="10"/>
        <v>0</v>
      </c>
    </row>
    <row r="649" spans="1:4" ht="15">
      <c r="A649" s="99" t="s">
        <v>1328</v>
      </c>
      <c r="B649" s="3" cm="1">
        <f t="array" ref="B649">SUMPRODUCT((ISNUMBER(MATCH(ESTIMATE!$L$6:$L$205,A649,0)))*(ESTIMATE!$M$6:$M$205)*(ESTIMATE!$A$6:$A$205))</f>
        <v>0</v>
      </c>
      <c r="C649" s="100">
        <v>50.2</v>
      </c>
      <c r="D649" s="97">
        <f t="shared" si="10"/>
        <v>0</v>
      </c>
    </row>
    <row r="650" spans="1:4" ht="15">
      <c r="A650" s="99" t="s">
        <v>1329</v>
      </c>
      <c r="B650" s="3" cm="1">
        <f t="array" ref="B650">SUMPRODUCT((ISNUMBER(MATCH(ESTIMATE!$L$6:$L$205,A650,0)))*(ESTIMATE!$M$6:$M$205)*(ESTIMATE!$A$6:$A$205))</f>
        <v>0</v>
      </c>
      <c r="C650" s="100">
        <v>52.98</v>
      </c>
      <c r="D650" s="97">
        <f t="shared" si="10"/>
        <v>0</v>
      </c>
    </row>
    <row r="651" spans="1:4" ht="15">
      <c r="A651" s="99" t="s">
        <v>1330</v>
      </c>
      <c r="B651" s="3" cm="1">
        <f t="array" ref="B651">SUMPRODUCT((ISNUMBER(MATCH(ESTIMATE!$L$6:$L$205,A651,0)))*(ESTIMATE!$M$6:$M$205)*(ESTIMATE!$A$6:$A$205))</f>
        <v>0</v>
      </c>
      <c r="C651" s="100">
        <v>56.22</v>
      </c>
      <c r="D651" s="97">
        <f t="shared" si="10"/>
        <v>0</v>
      </c>
    </row>
    <row r="652" spans="1:4" ht="15">
      <c r="A652" s="99" t="s">
        <v>1331</v>
      </c>
      <c r="B652" s="3" cm="1">
        <f t="array" ref="B652">SUMPRODUCT((ISNUMBER(MATCH(ESTIMATE!$L$6:$L$205,A652,0)))*(ESTIMATE!$M$6:$M$205)*(ESTIMATE!$A$6:$A$205))</f>
        <v>0</v>
      </c>
      <c r="C652" s="100">
        <v>59.45</v>
      </c>
      <c r="D652" s="97">
        <f t="shared" si="10"/>
        <v>0</v>
      </c>
    </row>
    <row r="653" spans="1:4" ht="15">
      <c r="A653" s="99" t="s">
        <v>1332</v>
      </c>
      <c r="B653" s="3" cm="1">
        <f t="array" ref="B653">SUMPRODUCT((ISNUMBER(MATCH(ESTIMATE!$L$6:$L$205,A653,0)))*(ESTIMATE!$M$6:$M$205)*(ESTIMATE!$A$6:$A$205))</f>
        <v>0</v>
      </c>
      <c r="C653" s="100">
        <v>62.68</v>
      </c>
      <c r="D653" s="97">
        <f t="shared" si="10"/>
        <v>0</v>
      </c>
    </row>
    <row r="654" spans="1:4" ht="15">
      <c r="A654" s="99" t="s">
        <v>1333</v>
      </c>
      <c r="B654" s="3" cm="1">
        <f t="array" ref="B654">SUMPRODUCT((ISNUMBER(MATCH(ESTIMATE!$L$6:$L$205,A654,0)))*(ESTIMATE!$M$6:$M$205)*(ESTIMATE!$A$6:$A$205))</f>
        <v>0</v>
      </c>
      <c r="C654" s="100">
        <v>66.569999999999993</v>
      </c>
      <c r="D654" s="97">
        <f t="shared" si="10"/>
        <v>0</v>
      </c>
    </row>
    <row r="655" spans="1:4" ht="15">
      <c r="A655" s="99" t="s">
        <v>1334</v>
      </c>
      <c r="B655" s="3" cm="1">
        <f t="array" ref="B655">SUMPRODUCT((ISNUMBER(MATCH(ESTIMATE!$L$6:$L$205,A655,0)))*(ESTIMATE!$M$6:$M$205)*(ESTIMATE!$A$6:$A$205))</f>
        <v>0</v>
      </c>
      <c r="C655" s="100">
        <v>70.22</v>
      </c>
      <c r="D655" s="97">
        <f t="shared" ref="D655:D665" si="11">SUM(B655*C655)</f>
        <v>0</v>
      </c>
    </row>
    <row r="656" spans="1:4" ht="15">
      <c r="A656" s="99" t="s">
        <v>1335</v>
      </c>
      <c r="B656" s="3" cm="1">
        <f t="array" ref="B656">SUMPRODUCT((ISNUMBER(MATCH(ESTIMATE!$L$6:$L$205,A656,0)))*(ESTIMATE!$M$6:$M$205)*(ESTIMATE!$A$6:$A$205))</f>
        <v>0</v>
      </c>
      <c r="C656" s="100">
        <v>74.08</v>
      </c>
      <c r="D656" s="97">
        <f t="shared" si="11"/>
        <v>0</v>
      </c>
    </row>
    <row r="657" spans="1:4" ht="15">
      <c r="A657" s="99" t="s">
        <v>1336</v>
      </c>
      <c r="B657" s="3" cm="1">
        <f t="array" ref="B657">SUMPRODUCT((ISNUMBER(MATCH(ESTIMATE!$L$6:$L$205,A657,0)))*(ESTIMATE!$M$6:$M$205)*(ESTIMATE!$A$6:$A$205))</f>
        <v>0</v>
      </c>
      <c r="C657" s="100">
        <v>79.680000000000007</v>
      </c>
      <c r="D657" s="97">
        <f t="shared" si="11"/>
        <v>0</v>
      </c>
    </row>
    <row r="658" spans="1:4" ht="15">
      <c r="A658" s="99" t="s">
        <v>1337</v>
      </c>
      <c r="B658" s="3" cm="1">
        <f t="array" ref="B658">SUMPRODUCT((ISNUMBER(MATCH(ESTIMATE!$L$6:$L$205,A658,0)))*(ESTIMATE!$M$6:$M$205)*(ESTIMATE!$A$6:$A$205))</f>
        <v>0</v>
      </c>
      <c r="C658" s="100">
        <v>85.09</v>
      </c>
      <c r="D658" s="97">
        <f t="shared" si="11"/>
        <v>0</v>
      </c>
    </row>
    <row r="659" spans="1:4" ht="15">
      <c r="A659" s="99" t="s">
        <v>1338</v>
      </c>
      <c r="B659" s="3" cm="1">
        <f t="array" ref="B659">SUMPRODUCT((ISNUMBER(MATCH(ESTIMATE!$L$6:$L$205,A659,0)))*(ESTIMATE!$M$6:$M$205)*(ESTIMATE!$A$6:$A$205))</f>
        <v>0</v>
      </c>
      <c r="C659" s="100">
        <v>90.47</v>
      </c>
      <c r="D659" s="97">
        <f t="shared" si="11"/>
        <v>0</v>
      </c>
    </row>
    <row r="660" spans="1:4" ht="15">
      <c r="A660" s="99" t="s">
        <v>1339</v>
      </c>
      <c r="B660" s="3" cm="1">
        <f t="array" ref="B660">SUMPRODUCT((ISNUMBER(MATCH(ESTIMATE!$L$6:$L$205,A660,0)))*(ESTIMATE!$M$6:$M$205)*(ESTIMATE!$A$6:$A$205))</f>
        <v>0</v>
      </c>
      <c r="C660" s="100">
        <v>96.07</v>
      </c>
      <c r="D660" s="97">
        <f t="shared" si="11"/>
        <v>0</v>
      </c>
    </row>
    <row r="661" spans="1:4" ht="15">
      <c r="A661" s="99" t="s">
        <v>1340</v>
      </c>
      <c r="B661" s="3" cm="1">
        <f t="array" ref="B661">SUMPRODUCT((ISNUMBER(MATCH(ESTIMATE!$L$6:$L$205,A661,0)))*(ESTIMATE!$M$6:$M$205)*(ESTIMATE!$A$6:$A$205))</f>
        <v>0</v>
      </c>
      <c r="C661" s="100">
        <v>101.69</v>
      </c>
      <c r="D661" s="97">
        <f t="shared" si="11"/>
        <v>0</v>
      </c>
    </row>
    <row r="662" spans="1:4" ht="15">
      <c r="A662" s="99" t="s">
        <v>1341</v>
      </c>
      <c r="B662" s="3" cm="1">
        <f t="array" ref="B662">SUMPRODUCT((ISNUMBER(MATCH(ESTIMATE!$L$6:$L$205,A662,0)))*(ESTIMATE!$M$6:$M$205)*(ESTIMATE!$A$6:$A$205))</f>
        <v>0</v>
      </c>
      <c r="C662" s="100">
        <v>107.25</v>
      </c>
      <c r="D662" s="97">
        <f t="shared" si="11"/>
        <v>0</v>
      </c>
    </row>
    <row r="663" spans="1:4" ht="15">
      <c r="A663" s="99" t="s">
        <v>291</v>
      </c>
      <c r="B663" s="3" cm="1">
        <f t="array" ref="B663">SUMPRODUCT((ISNUMBER(MATCH(ESTIMATE!$L$6:$L$205,A663,0)))*(ESTIMATE!$M$6:$M$205)*(ESTIMATE!$A$6:$A$205))</f>
        <v>0</v>
      </c>
      <c r="C663" s="100">
        <v>113.94</v>
      </c>
      <c r="D663" s="97">
        <f t="shared" si="11"/>
        <v>0</v>
      </c>
    </row>
    <row r="664" spans="1:4" ht="15">
      <c r="A664" s="99" t="s">
        <v>292</v>
      </c>
      <c r="B664" s="3" cm="1">
        <f t="array" ref="B664">SUMPRODUCT((ISNUMBER(MATCH(ESTIMATE!$L$6:$L$205,A664,0)))*(ESTIMATE!$M$6:$M$205)*(ESTIMATE!$A$6:$A$205))</f>
        <v>0</v>
      </c>
      <c r="C664" s="100">
        <v>120.64</v>
      </c>
      <c r="D664" s="97">
        <f t="shared" si="11"/>
        <v>0</v>
      </c>
    </row>
    <row r="665" spans="1:4" ht="15">
      <c r="A665" s="99" t="s">
        <v>293</v>
      </c>
      <c r="B665" s="3" cm="1">
        <f t="array" ref="B665">SUMPRODUCT((ISNUMBER(MATCH(ESTIMATE!$L$6:$L$205,A665,0)))*(ESTIMATE!$M$6:$M$205)*(ESTIMATE!$A$6:$A$205))</f>
        <v>0</v>
      </c>
      <c r="C665" s="100">
        <v>126.65</v>
      </c>
      <c r="D665" s="97">
        <f t="shared" si="11"/>
        <v>0</v>
      </c>
    </row>
    <row r="666" spans="1:4" ht="15">
      <c r="A666" s="99" t="s">
        <v>294</v>
      </c>
      <c r="B666" s="3" cm="1">
        <f t="array" ref="B666">SUMPRODUCT((ISNUMBER(MATCH(ESTIMATE!$L$6:$L$205,A666,0)))*(ESTIMATE!$M$6:$M$205)*(ESTIMATE!$A$6:$A$205))</f>
        <v>0</v>
      </c>
      <c r="C666" s="100">
        <v>134.19</v>
      </c>
      <c r="D666" s="97">
        <f t="shared" ref="D666:D729" si="12">SUM(B666*C666)</f>
        <v>0</v>
      </c>
    </row>
    <row r="667" spans="1:4" ht="15">
      <c r="A667" s="99" t="s">
        <v>295</v>
      </c>
      <c r="B667" s="3" cm="1">
        <f t="array" ref="B667">SUMPRODUCT((ISNUMBER(MATCH(ESTIMATE!$L$6:$L$205,A667,0)))*(ESTIMATE!$M$6:$M$205)*(ESTIMATE!$A$6:$A$205))</f>
        <v>0</v>
      </c>
      <c r="C667" s="100">
        <v>142.57</v>
      </c>
      <c r="D667" s="97">
        <f t="shared" si="12"/>
        <v>0</v>
      </c>
    </row>
    <row r="668" spans="1:4" ht="15">
      <c r="A668" s="99" t="s">
        <v>296</v>
      </c>
      <c r="B668" s="3" cm="1">
        <f t="array" ref="B668">SUMPRODUCT((ISNUMBER(MATCH(ESTIMATE!$L$6:$L$205,A668,0)))*(ESTIMATE!$M$6:$M$205)*(ESTIMATE!$A$6:$A$205))</f>
        <v>0</v>
      </c>
      <c r="C668" s="100">
        <v>150.35</v>
      </c>
      <c r="D668" s="97">
        <f t="shared" si="12"/>
        <v>0</v>
      </c>
    </row>
    <row r="669" spans="1:4" ht="15">
      <c r="A669" s="99" t="s">
        <v>297</v>
      </c>
      <c r="B669" s="3" cm="1">
        <f t="array" ref="B669">SUMPRODUCT((ISNUMBER(MATCH(ESTIMATE!$L$6:$L$205,A669,0)))*(ESTIMATE!$M$6:$M$205)*(ESTIMATE!$A$6:$A$205))</f>
        <v>0</v>
      </c>
      <c r="C669" s="100">
        <v>160.9</v>
      </c>
      <c r="D669" s="97">
        <f t="shared" si="12"/>
        <v>0</v>
      </c>
    </row>
    <row r="670" spans="1:4" ht="15">
      <c r="A670" s="99" t="s">
        <v>298</v>
      </c>
      <c r="B670" s="3" cm="1">
        <f t="array" ref="B670">SUMPRODUCT((ISNUMBER(MATCH(ESTIMATE!$L$6:$L$205,A670,0)))*(ESTIMATE!$M$6:$M$205)*(ESTIMATE!$A$6:$A$205))</f>
        <v>0</v>
      </c>
      <c r="C670" s="100">
        <v>168.87</v>
      </c>
      <c r="D670" s="97">
        <f t="shared" si="12"/>
        <v>0</v>
      </c>
    </row>
    <row r="671" spans="1:4" ht="15">
      <c r="A671" s="99" t="s">
        <v>299</v>
      </c>
      <c r="B671" s="3" cm="1">
        <f t="array" ref="B671">SUMPRODUCT((ISNUMBER(MATCH(ESTIMATE!$L$6:$L$205,A671,0)))*(ESTIMATE!$M$6:$M$205)*(ESTIMATE!$A$6:$A$205))</f>
        <v>0</v>
      </c>
      <c r="C671" s="100">
        <v>179.64</v>
      </c>
      <c r="D671" s="97">
        <f t="shared" si="12"/>
        <v>0</v>
      </c>
    </row>
    <row r="672" spans="1:4" ht="15">
      <c r="A672" s="99" t="s">
        <v>300</v>
      </c>
      <c r="B672" s="3" cm="1">
        <f t="array" ref="B672">SUMPRODUCT((ISNUMBER(MATCH(ESTIMATE!$L$6:$L$205,A672,0)))*(ESTIMATE!$M$6:$M$205)*(ESTIMATE!$A$6:$A$205))</f>
        <v>0</v>
      </c>
      <c r="C672" s="100">
        <v>190.42</v>
      </c>
      <c r="D672" s="97">
        <f t="shared" si="12"/>
        <v>0</v>
      </c>
    </row>
    <row r="673" spans="1:4" ht="15">
      <c r="A673" s="99" t="s">
        <v>318</v>
      </c>
      <c r="B673" s="3" cm="1">
        <f t="array" ref="B673">SUMPRODUCT((ISNUMBER(MATCH(ESTIMATE!$L$6:$L$205,A673,0)))*(ESTIMATE!$M$6:$M$205)*(ESTIMATE!$A$6:$A$205))</f>
        <v>0</v>
      </c>
      <c r="C673" s="100">
        <v>23.85</v>
      </c>
      <c r="D673" s="97">
        <f t="shared" si="12"/>
        <v>0</v>
      </c>
    </row>
    <row r="674" spans="1:4" ht="15">
      <c r="A674" s="99" t="s">
        <v>319</v>
      </c>
      <c r="B674" s="3" cm="1">
        <f t="array" ref="B674">SUMPRODUCT((ISNUMBER(MATCH(ESTIMATE!$L$6:$L$205,A674,0)))*(ESTIMATE!$M$6:$M$205)*(ESTIMATE!$A$6:$A$205))</f>
        <v>0</v>
      </c>
      <c r="C674" s="100">
        <v>24.83</v>
      </c>
      <c r="D674" s="97">
        <f t="shared" si="12"/>
        <v>0</v>
      </c>
    </row>
    <row r="675" spans="1:4" ht="15">
      <c r="A675" s="99" t="s">
        <v>320</v>
      </c>
      <c r="B675" s="3" cm="1">
        <f t="array" ref="B675">SUMPRODUCT((ISNUMBER(MATCH(ESTIMATE!$L$6:$L$205,A675,0)))*(ESTIMATE!$M$6:$M$205)*(ESTIMATE!$A$6:$A$205))</f>
        <v>0</v>
      </c>
      <c r="C675" s="100">
        <v>25.88</v>
      </c>
      <c r="D675" s="97">
        <f t="shared" si="12"/>
        <v>0</v>
      </c>
    </row>
    <row r="676" spans="1:4" ht="15">
      <c r="A676" s="99" t="s">
        <v>321</v>
      </c>
      <c r="B676" s="3" cm="1">
        <f t="array" ref="B676">SUMPRODUCT((ISNUMBER(MATCH(ESTIMATE!$L$6:$L$205,A676,0)))*(ESTIMATE!$M$6:$M$205)*(ESTIMATE!$A$6:$A$205))</f>
        <v>0</v>
      </c>
      <c r="C676" s="100">
        <v>26.42</v>
      </c>
      <c r="D676" s="97">
        <f t="shared" si="12"/>
        <v>0</v>
      </c>
    </row>
    <row r="677" spans="1:4" ht="15">
      <c r="A677" s="99" t="s">
        <v>322</v>
      </c>
      <c r="B677" s="3" cm="1">
        <f t="array" ref="B677">SUMPRODUCT((ISNUMBER(MATCH(ESTIMATE!$L$6:$L$205,A677,0)))*(ESTIMATE!$M$6:$M$205)*(ESTIMATE!$A$6:$A$205))</f>
        <v>0</v>
      </c>
      <c r="C677" s="100">
        <v>26.93</v>
      </c>
      <c r="D677" s="97">
        <f t="shared" si="12"/>
        <v>0</v>
      </c>
    </row>
    <row r="678" spans="1:4" ht="15">
      <c r="A678" s="99" t="s">
        <v>323</v>
      </c>
      <c r="B678" s="3" cm="1">
        <f t="array" ref="B678">SUMPRODUCT((ISNUMBER(MATCH(ESTIMATE!$L$6:$L$205,A678,0)))*(ESTIMATE!$M$6:$M$205)*(ESTIMATE!$A$6:$A$205))</f>
        <v>0</v>
      </c>
      <c r="C678" s="100">
        <v>27.5</v>
      </c>
      <c r="D678" s="97">
        <f t="shared" si="12"/>
        <v>0</v>
      </c>
    </row>
    <row r="679" spans="1:4" ht="15">
      <c r="A679" s="99" t="s">
        <v>324</v>
      </c>
      <c r="B679" s="3" cm="1">
        <f t="array" ref="B679">SUMPRODUCT((ISNUMBER(MATCH(ESTIMATE!$L$6:$L$205,A679,0)))*(ESTIMATE!$M$6:$M$205)*(ESTIMATE!$A$6:$A$205))</f>
        <v>0</v>
      </c>
      <c r="C679" s="100">
        <v>28</v>
      </c>
      <c r="D679" s="97">
        <f t="shared" si="12"/>
        <v>0</v>
      </c>
    </row>
    <row r="680" spans="1:4" ht="15">
      <c r="A680" s="99" t="s">
        <v>325</v>
      </c>
      <c r="B680" s="3" cm="1">
        <f t="array" ref="B680">SUMPRODUCT((ISNUMBER(MATCH(ESTIMATE!$L$6:$L$205,A680,0)))*(ESTIMATE!$M$6:$M$205)*(ESTIMATE!$A$6:$A$205))</f>
        <v>0</v>
      </c>
      <c r="C680" s="100">
        <v>28.53</v>
      </c>
      <c r="D680" s="97">
        <f t="shared" si="12"/>
        <v>0</v>
      </c>
    </row>
    <row r="681" spans="1:4" ht="15">
      <c r="A681" s="99" t="s">
        <v>326</v>
      </c>
      <c r="B681" s="3" cm="1">
        <f t="array" ref="B681">SUMPRODUCT((ISNUMBER(MATCH(ESTIMATE!$L$6:$L$205,A681,0)))*(ESTIMATE!$M$6:$M$205)*(ESTIMATE!$A$6:$A$205))</f>
        <v>0</v>
      </c>
      <c r="C681" s="100">
        <v>28.78</v>
      </c>
      <c r="D681" s="97">
        <f t="shared" si="12"/>
        <v>0</v>
      </c>
    </row>
    <row r="682" spans="1:4" ht="15">
      <c r="A682" s="99" t="s">
        <v>327</v>
      </c>
      <c r="B682" s="3" cm="1">
        <f t="array" ref="B682">SUMPRODUCT((ISNUMBER(MATCH(ESTIMATE!$L$6:$L$205,A682,0)))*(ESTIMATE!$M$6:$M$205)*(ESTIMATE!$A$6:$A$205))</f>
        <v>0</v>
      </c>
      <c r="C682" s="100">
        <v>29.32</v>
      </c>
      <c r="D682" s="97">
        <f t="shared" si="12"/>
        <v>0</v>
      </c>
    </row>
    <row r="683" spans="1:4" ht="15">
      <c r="A683" s="99" t="s">
        <v>328</v>
      </c>
      <c r="B683" s="3" cm="1">
        <f t="array" ref="B683">SUMPRODUCT((ISNUMBER(MATCH(ESTIMATE!$L$6:$L$205,A683,0)))*(ESTIMATE!$M$6:$M$205)*(ESTIMATE!$A$6:$A$205))</f>
        <v>0</v>
      </c>
      <c r="C683" s="100">
        <v>30.12</v>
      </c>
      <c r="D683" s="97">
        <f t="shared" si="12"/>
        <v>0</v>
      </c>
    </row>
    <row r="684" spans="1:4" ht="15">
      <c r="A684" s="99" t="s">
        <v>329</v>
      </c>
      <c r="B684" s="3" cm="1">
        <f t="array" ref="B684">SUMPRODUCT((ISNUMBER(MATCH(ESTIMATE!$L$6:$L$205,A684,0)))*(ESTIMATE!$M$6:$M$205)*(ESTIMATE!$A$6:$A$205))</f>
        <v>0</v>
      </c>
      <c r="C684" s="100">
        <v>30.63</v>
      </c>
      <c r="D684" s="97">
        <f t="shared" si="12"/>
        <v>0</v>
      </c>
    </row>
    <row r="685" spans="1:4" ht="15">
      <c r="A685" s="99" t="s">
        <v>330</v>
      </c>
      <c r="B685" s="3" cm="1">
        <f t="array" ref="B685">SUMPRODUCT((ISNUMBER(MATCH(ESTIMATE!$L$6:$L$205,A685,0)))*(ESTIMATE!$M$6:$M$205)*(ESTIMATE!$A$6:$A$205))</f>
        <v>0</v>
      </c>
      <c r="C685" s="100">
        <v>31.13</v>
      </c>
      <c r="D685" s="97">
        <f t="shared" si="12"/>
        <v>0</v>
      </c>
    </row>
    <row r="686" spans="1:4" ht="15">
      <c r="A686" s="99" t="s">
        <v>331</v>
      </c>
      <c r="B686" s="3" cm="1">
        <f t="array" ref="B686">SUMPRODUCT((ISNUMBER(MATCH(ESTIMATE!$L$6:$L$205,A686,0)))*(ESTIMATE!$M$6:$M$205)*(ESTIMATE!$A$6:$A$205))</f>
        <v>0</v>
      </c>
      <c r="C686" s="100">
        <v>31.65</v>
      </c>
      <c r="D686" s="97">
        <f t="shared" si="12"/>
        <v>0</v>
      </c>
    </row>
    <row r="687" spans="1:4" ht="15">
      <c r="A687" s="99" t="s">
        <v>332</v>
      </c>
      <c r="B687" s="3" cm="1">
        <f t="array" ref="B687">SUMPRODUCT((ISNUMBER(MATCH(ESTIMATE!$L$6:$L$205,A687,0)))*(ESTIMATE!$M$6:$M$205)*(ESTIMATE!$A$6:$A$205))</f>
        <v>0</v>
      </c>
      <c r="C687" s="100">
        <v>32.630000000000003</v>
      </c>
      <c r="D687" s="97">
        <f t="shared" si="12"/>
        <v>0</v>
      </c>
    </row>
    <row r="688" spans="1:4" ht="15">
      <c r="A688" s="99" t="s">
        <v>333</v>
      </c>
      <c r="B688" s="3" cm="1">
        <f t="array" ref="B688">SUMPRODUCT((ISNUMBER(MATCH(ESTIMATE!$L$6:$L$205,A688,0)))*(ESTIMATE!$M$6:$M$205)*(ESTIMATE!$A$6:$A$205))</f>
        <v>0</v>
      </c>
      <c r="C688" s="100">
        <v>33.770000000000003</v>
      </c>
      <c r="D688" s="97">
        <f t="shared" si="12"/>
        <v>0</v>
      </c>
    </row>
    <row r="689" spans="1:4" ht="15">
      <c r="A689" s="99" t="s">
        <v>334</v>
      </c>
      <c r="B689" s="3" cm="1">
        <f t="array" ref="B689">SUMPRODUCT((ISNUMBER(MATCH(ESTIMATE!$L$6:$L$205,A689,0)))*(ESTIMATE!$M$6:$M$205)*(ESTIMATE!$A$6:$A$205))</f>
        <v>0</v>
      </c>
      <c r="C689" s="100">
        <v>34.28</v>
      </c>
      <c r="D689" s="97">
        <f t="shared" si="12"/>
        <v>0</v>
      </c>
    </row>
    <row r="690" spans="1:4" ht="15">
      <c r="A690" s="99" t="s">
        <v>335</v>
      </c>
      <c r="B690" s="3" cm="1">
        <f t="array" ref="B690">SUMPRODUCT((ISNUMBER(MATCH(ESTIMATE!$L$6:$L$205,A690,0)))*(ESTIMATE!$M$6:$M$205)*(ESTIMATE!$A$6:$A$205))</f>
        <v>0</v>
      </c>
      <c r="C690" s="100">
        <v>34.78</v>
      </c>
      <c r="D690" s="97">
        <f t="shared" si="12"/>
        <v>0</v>
      </c>
    </row>
    <row r="691" spans="1:4" ht="15">
      <c r="A691" s="99" t="s">
        <v>1342</v>
      </c>
      <c r="B691" s="3" cm="1">
        <f t="array" ref="B691">SUMPRODUCT((ISNUMBER(MATCH(ESTIMATE!$L$6:$L$205,A691,0)))*(ESTIMATE!$M$6:$M$205)*(ESTIMATE!$A$6:$A$205))</f>
        <v>0</v>
      </c>
      <c r="C691" s="100">
        <v>35.299999999999997</v>
      </c>
      <c r="D691" s="97">
        <f t="shared" si="12"/>
        <v>0</v>
      </c>
    </row>
    <row r="692" spans="1:4" ht="15">
      <c r="A692" s="99" t="s">
        <v>336</v>
      </c>
      <c r="B692" s="3" cm="1">
        <f t="array" ref="B692">SUMPRODUCT((ISNUMBER(MATCH(ESTIMATE!$L$6:$L$205,A692,0)))*(ESTIMATE!$M$6:$M$205)*(ESTIMATE!$A$6:$A$205))</f>
        <v>0</v>
      </c>
      <c r="C692" s="100">
        <v>35.82</v>
      </c>
      <c r="D692" s="97">
        <f t="shared" si="12"/>
        <v>0</v>
      </c>
    </row>
    <row r="693" spans="1:4" ht="15">
      <c r="A693" s="99" t="s">
        <v>337</v>
      </c>
      <c r="B693" s="3" cm="1">
        <f t="array" ref="B693">SUMPRODUCT((ISNUMBER(MATCH(ESTIMATE!$L$6:$L$205,A693,0)))*(ESTIMATE!$M$6:$M$205)*(ESTIMATE!$A$6:$A$205))</f>
        <v>0</v>
      </c>
      <c r="C693" s="100">
        <v>36.93</v>
      </c>
      <c r="D693" s="97">
        <f t="shared" si="12"/>
        <v>0</v>
      </c>
    </row>
    <row r="694" spans="1:4" ht="15">
      <c r="A694" s="99" t="s">
        <v>338</v>
      </c>
      <c r="B694" s="3" cm="1">
        <f t="array" ref="B694">SUMPRODUCT((ISNUMBER(MATCH(ESTIMATE!$L$6:$L$205,A694,0)))*(ESTIMATE!$M$6:$M$205)*(ESTIMATE!$A$6:$A$205))</f>
        <v>0</v>
      </c>
      <c r="C694" s="100">
        <v>37.97</v>
      </c>
      <c r="D694" s="97">
        <f t="shared" si="12"/>
        <v>0</v>
      </c>
    </row>
    <row r="695" spans="1:4" ht="15">
      <c r="A695" s="99" t="s">
        <v>1343</v>
      </c>
      <c r="B695" s="3" cm="1">
        <f t="array" ref="B695">SUMPRODUCT((ISNUMBER(MATCH(ESTIMATE!$L$6:$L$205,A695,0)))*(ESTIMATE!$M$6:$M$205)*(ESTIMATE!$A$6:$A$205))</f>
        <v>0</v>
      </c>
      <c r="C695" s="100">
        <v>38.5</v>
      </c>
      <c r="D695" s="97">
        <f t="shared" si="12"/>
        <v>0</v>
      </c>
    </row>
    <row r="696" spans="1:4" ht="15">
      <c r="A696" s="99" t="s">
        <v>339</v>
      </c>
      <c r="B696" s="3" cm="1">
        <f t="array" ref="B696">SUMPRODUCT((ISNUMBER(MATCH(ESTIMATE!$L$6:$L$205,A696,0)))*(ESTIMATE!$M$6:$M$205)*(ESTIMATE!$A$6:$A$205))</f>
        <v>0</v>
      </c>
      <c r="C696" s="100">
        <v>39.08</v>
      </c>
      <c r="D696" s="97">
        <f t="shared" si="12"/>
        <v>0</v>
      </c>
    </row>
    <row r="697" spans="1:4" ht="15">
      <c r="A697" s="99" t="s">
        <v>340</v>
      </c>
      <c r="B697" s="3" cm="1">
        <f t="array" ref="B697">SUMPRODUCT((ISNUMBER(MATCH(ESTIMATE!$L$6:$L$205,A697,0)))*(ESTIMATE!$M$6:$M$205)*(ESTIMATE!$A$6:$A$205))</f>
        <v>0</v>
      </c>
      <c r="C697" s="100">
        <v>41.08</v>
      </c>
      <c r="D697" s="97">
        <f t="shared" si="12"/>
        <v>0</v>
      </c>
    </row>
    <row r="698" spans="1:4" ht="15">
      <c r="A698" s="99" t="s">
        <v>341</v>
      </c>
      <c r="B698" s="3" cm="1">
        <f t="array" ref="B698">SUMPRODUCT((ISNUMBER(MATCH(ESTIMATE!$L$6:$L$205,A698,0)))*(ESTIMATE!$M$6:$M$205)*(ESTIMATE!$A$6:$A$205))</f>
        <v>0</v>
      </c>
      <c r="C698" s="100">
        <v>41.67</v>
      </c>
      <c r="D698" s="97">
        <f t="shared" si="12"/>
        <v>0</v>
      </c>
    </row>
    <row r="699" spans="1:4" ht="15">
      <c r="A699" s="99" t="s">
        <v>342</v>
      </c>
      <c r="B699" s="3" cm="1">
        <f t="array" ref="B699">SUMPRODUCT((ISNUMBER(MATCH(ESTIMATE!$L$6:$L$205,A699,0)))*(ESTIMATE!$M$6:$M$205)*(ESTIMATE!$A$6:$A$205))</f>
        <v>0</v>
      </c>
      <c r="C699" s="100">
        <v>42.2</v>
      </c>
      <c r="D699" s="97">
        <f t="shared" si="12"/>
        <v>0</v>
      </c>
    </row>
    <row r="700" spans="1:4" ht="15">
      <c r="A700" s="99" t="s">
        <v>343</v>
      </c>
      <c r="B700" s="3" cm="1">
        <f t="array" ref="B700">SUMPRODUCT((ISNUMBER(MATCH(ESTIMATE!$L$6:$L$205,A700,0)))*(ESTIMATE!$M$6:$M$205)*(ESTIMATE!$A$6:$A$205))</f>
        <v>0</v>
      </c>
      <c r="C700" s="100">
        <v>43.23</v>
      </c>
      <c r="D700" s="97">
        <f t="shared" si="12"/>
        <v>0</v>
      </c>
    </row>
    <row r="701" spans="1:4" ht="15">
      <c r="A701" s="99" t="s">
        <v>344</v>
      </c>
      <c r="B701" s="3" cm="1">
        <f t="array" ref="B701">SUMPRODUCT((ISNUMBER(MATCH(ESTIMATE!$L$6:$L$205,A701,0)))*(ESTIMATE!$M$6:$M$205)*(ESTIMATE!$A$6:$A$205))</f>
        <v>0</v>
      </c>
      <c r="C701" s="100">
        <v>44.37</v>
      </c>
      <c r="D701" s="97">
        <f t="shared" si="12"/>
        <v>0</v>
      </c>
    </row>
    <row r="702" spans="1:4" ht="15">
      <c r="A702" s="99" t="s">
        <v>345</v>
      </c>
      <c r="B702" s="3" cm="1">
        <f t="array" ref="B702">SUMPRODUCT((ISNUMBER(MATCH(ESTIMATE!$L$6:$L$205,A702,0)))*(ESTIMATE!$M$6:$M$205)*(ESTIMATE!$A$6:$A$205))</f>
        <v>0</v>
      </c>
      <c r="C702" s="100">
        <v>44.9</v>
      </c>
      <c r="D702" s="97">
        <f t="shared" si="12"/>
        <v>0</v>
      </c>
    </row>
    <row r="703" spans="1:4" ht="15">
      <c r="A703" s="99" t="s">
        <v>346</v>
      </c>
      <c r="B703" s="3" cm="1">
        <f t="array" ref="B703">SUMPRODUCT((ISNUMBER(MATCH(ESTIMATE!$L$6:$L$205,A703,0)))*(ESTIMATE!$M$6:$M$205)*(ESTIMATE!$A$6:$A$205))</f>
        <v>0</v>
      </c>
      <c r="C703" s="100">
        <v>45.42</v>
      </c>
      <c r="D703" s="97">
        <f t="shared" si="12"/>
        <v>0</v>
      </c>
    </row>
    <row r="704" spans="1:4" ht="15">
      <c r="A704" s="99" t="s">
        <v>347</v>
      </c>
      <c r="B704" s="3" cm="1">
        <f t="array" ref="B704">SUMPRODUCT((ISNUMBER(MATCH(ESTIMATE!$L$6:$L$205,A704,0)))*(ESTIMATE!$M$6:$M$205)*(ESTIMATE!$A$6:$A$205))</f>
        <v>0</v>
      </c>
      <c r="C704" s="100">
        <v>46.02</v>
      </c>
      <c r="D704" s="97">
        <f t="shared" si="12"/>
        <v>0</v>
      </c>
    </row>
    <row r="705" spans="1:4" ht="15">
      <c r="A705" s="99" t="s">
        <v>348</v>
      </c>
      <c r="B705" s="3" cm="1">
        <f t="array" ref="B705">SUMPRODUCT((ISNUMBER(MATCH(ESTIMATE!$L$6:$L$205,A705,0)))*(ESTIMATE!$M$6:$M$205)*(ESTIMATE!$A$6:$A$205))</f>
        <v>0</v>
      </c>
      <c r="C705" s="100">
        <v>46.62</v>
      </c>
      <c r="D705" s="97">
        <f t="shared" si="12"/>
        <v>0</v>
      </c>
    </row>
    <row r="706" spans="1:4" ht="15">
      <c r="A706" s="99" t="s">
        <v>349</v>
      </c>
      <c r="B706" s="3" cm="1">
        <f t="array" ref="B706">SUMPRODUCT((ISNUMBER(MATCH(ESTIMATE!$L$6:$L$205,A706,0)))*(ESTIMATE!$M$6:$M$205)*(ESTIMATE!$A$6:$A$205))</f>
        <v>0</v>
      </c>
      <c r="C706" s="100">
        <v>48.97</v>
      </c>
      <c r="D706" s="97">
        <f t="shared" si="12"/>
        <v>0</v>
      </c>
    </row>
    <row r="707" spans="1:4" ht="15">
      <c r="A707" s="99" t="s">
        <v>350</v>
      </c>
      <c r="B707" s="3" cm="1">
        <f t="array" ref="B707">SUMPRODUCT((ISNUMBER(MATCH(ESTIMATE!$L$6:$L$205,A707,0)))*(ESTIMATE!$M$6:$M$205)*(ESTIMATE!$A$6:$A$205))</f>
        <v>0</v>
      </c>
      <c r="C707" s="100">
        <v>50.05</v>
      </c>
      <c r="D707" s="97">
        <f t="shared" si="12"/>
        <v>0</v>
      </c>
    </row>
    <row r="708" spans="1:4" ht="15">
      <c r="A708" s="99" t="s">
        <v>351</v>
      </c>
      <c r="B708" s="3" cm="1">
        <f t="array" ref="B708">SUMPRODUCT((ISNUMBER(MATCH(ESTIMATE!$L$6:$L$205,A708,0)))*(ESTIMATE!$M$6:$M$205)*(ESTIMATE!$A$6:$A$205))</f>
        <v>0</v>
      </c>
      <c r="C708" s="100">
        <v>51.45</v>
      </c>
      <c r="D708" s="97">
        <f t="shared" si="12"/>
        <v>0</v>
      </c>
    </row>
    <row r="709" spans="1:4" ht="15">
      <c r="A709" s="99" t="s">
        <v>301</v>
      </c>
      <c r="B709" s="3" cm="1">
        <f t="array" ref="B709">SUMPRODUCT((ISNUMBER(MATCH(ESTIMATE!$L$6:$L$205,A709,0)))*(ESTIMATE!$M$6:$M$205)*(ESTIMATE!$A$6:$A$205))</f>
        <v>0</v>
      </c>
      <c r="C709" s="100">
        <v>52.83</v>
      </c>
      <c r="D709" s="97">
        <f t="shared" si="12"/>
        <v>0</v>
      </c>
    </row>
    <row r="710" spans="1:4" ht="15">
      <c r="A710" s="99" t="s">
        <v>302</v>
      </c>
      <c r="B710" s="3" cm="1">
        <f t="array" ref="B710">SUMPRODUCT((ISNUMBER(MATCH(ESTIMATE!$L$6:$L$205,A710,0)))*(ESTIMATE!$M$6:$M$205)*(ESTIMATE!$A$6:$A$205))</f>
        <v>0</v>
      </c>
      <c r="C710" s="100">
        <v>54.42</v>
      </c>
      <c r="D710" s="97">
        <f t="shared" si="12"/>
        <v>0</v>
      </c>
    </row>
    <row r="711" spans="1:4" ht="15">
      <c r="A711" s="99" t="s">
        <v>303</v>
      </c>
      <c r="B711" s="3" cm="1">
        <f t="array" ref="B711">SUMPRODUCT((ISNUMBER(MATCH(ESTIMATE!$L$6:$L$205,A711,0)))*(ESTIMATE!$M$6:$M$205)*(ESTIMATE!$A$6:$A$205))</f>
        <v>0</v>
      </c>
      <c r="C711" s="100">
        <v>56.07</v>
      </c>
      <c r="D711" s="97">
        <f t="shared" si="12"/>
        <v>0</v>
      </c>
    </row>
    <row r="712" spans="1:4" ht="15">
      <c r="A712" s="99" t="s">
        <v>304</v>
      </c>
      <c r="B712" s="3" cm="1">
        <f t="array" ref="B712">SUMPRODUCT((ISNUMBER(MATCH(ESTIMATE!$L$6:$L$205,A712,0)))*(ESTIMATE!$M$6:$M$205)*(ESTIMATE!$A$6:$A$205))</f>
        <v>0</v>
      </c>
      <c r="C712" s="100">
        <v>57.1</v>
      </c>
      <c r="D712" s="97">
        <f t="shared" si="12"/>
        <v>0</v>
      </c>
    </row>
    <row r="713" spans="1:4" ht="15">
      <c r="A713" s="99" t="s">
        <v>305</v>
      </c>
      <c r="B713" s="3" cm="1">
        <f t="array" ref="B713">SUMPRODUCT((ISNUMBER(MATCH(ESTIMATE!$L$6:$L$205,A713,0)))*(ESTIMATE!$M$6:$M$205)*(ESTIMATE!$A$6:$A$205))</f>
        <v>0</v>
      </c>
      <c r="C713" s="100">
        <v>59.27</v>
      </c>
      <c r="D713" s="97">
        <f t="shared" si="12"/>
        <v>0</v>
      </c>
    </row>
    <row r="714" spans="1:4" ht="15">
      <c r="A714" s="99" t="s">
        <v>306</v>
      </c>
      <c r="B714" s="3" cm="1">
        <f t="array" ref="B714">SUMPRODUCT((ISNUMBER(MATCH(ESTIMATE!$L$6:$L$205,A714,0)))*(ESTIMATE!$M$6:$M$205)*(ESTIMATE!$A$6:$A$205))</f>
        <v>0</v>
      </c>
      <c r="C714" s="100">
        <v>60.87</v>
      </c>
      <c r="D714" s="97">
        <f t="shared" si="12"/>
        <v>0</v>
      </c>
    </row>
    <row r="715" spans="1:4" ht="15">
      <c r="A715" s="99" t="s">
        <v>307</v>
      </c>
      <c r="B715" s="3" cm="1">
        <f t="array" ref="B715">SUMPRODUCT((ISNUMBER(MATCH(ESTIMATE!$L$6:$L$205,A715,0)))*(ESTIMATE!$M$6:$M$205)*(ESTIMATE!$A$6:$A$205))</f>
        <v>0</v>
      </c>
      <c r="C715" s="100">
        <v>62.5</v>
      </c>
      <c r="D715" s="97">
        <f t="shared" si="12"/>
        <v>0</v>
      </c>
    </row>
    <row r="716" spans="1:4" ht="15">
      <c r="A716" s="99" t="s">
        <v>308</v>
      </c>
      <c r="B716" s="3" cm="1">
        <f t="array" ref="B716">SUMPRODUCT((ISNUMBER(MATCH(ESTIMATE!$L$6:$L$205,A716,0)))*(ESTIMATE!$M$6:$M$205)*(ESTIMATE!$A$6:$A$205))</f>
        <v>0</v>
      </c>
      <c r="C716" s="100">
        <v>65.27</v>
      </c>
      <c r="D716" s="97">
        <f t="shared" si="12"/>
        <v>0</v>
      </c>
    </row>
    <row r="717" spans="1:4" ht="15">
      <c r="A717" s="99" t="s">
        <v>309</v>
      </c>
      <c r="B717" s="3" cm="1">
        <f t="array" ref="B717">SUMPRODUCT((ISNUMBER(MATCH(ESTIMATE!$L$6:$L$205,A717,0)))*(ESTIMATE!$M$6:$M$205)*(ESTIMATE!$A$6:$A$205))</f>
        <v>0</v>
      </c>
      <c r="C717" s="100">
        <v>66.37</v>
      </c>
      <c r="D717" s="97">
        <f t="shared" si="12"/>
        <v>0</v>
      </c>
    </row>
    <row r="718" spans="1:4" ht="15">
      <c r="A718" s="99" t="s">
        <v>310</v>
      </c>
      <c r="B718" s="3" cm="1">
        <f t="array" ref="B718">SUMPRODUCT((ISNUMBER(MATCH(ESTIMATE!$L$6:$L$205,A718,0)))*(ESTIMATE!$M$6:$M$205)*(ESTIMATE!$A$6:$A$205))</f>
        <v>0</v>
      </c>
      <c r="C718" s="100">
        <v>70.02</v>
      </c>
      <c r="D718" s="97">
        <f t="shared" si="12"/>
        <v>0</v>
      </c>
    </row>
    <row r="719" spans="1:4" ht="15">
      <c r="A719" s="99" t="s">
        <v>311</v>
      </c>
      <c r="B719" s="3" cm="1">
        <f t="array" ref="B719">SUMPRODUCT((ISNUMBER(MATCH(ESTIMATE!$L$6:$L$205,A719,0)))*(ESTIMATE!$M$6:$M$205)*(ESTIMATE!$A$6:$A$205))</f>
        <v>0</v>
      </c>
      <c r="C719" s="100">
        <v>73.88</v>
      </c>
      <c r="D719" s="97">
        <f t="shared" si="12"/>
        <v>0</v>
      </c>
    </row>
    <row r="720" spans="1:4" ht="15">
      <c r="A720" s="99" t="s">
        <v>312</v>
      </c>
      <c r="B720" s="3" cm="1">
        <f t="array" ref="B720">SUMPRODUCT((ISNUMBER(MATCH(ESTIMATE!$L$6:$L$205,A720,0)))*(ESTIMATE!$M$6:$M$205)*(ESTIMATE!$A$6:$A$205))</f>
        <v>0</v>
      </c>
      <c r="C720" s="100">
        <v>79.45</v>
      </c>
      <c r="D720" s="97">
        <f t="shared" si="12"/>
        <v>0</v>
      </c>
    </row>
    <row r="721" spans="1:4" ht="15">
      <c r="A721" s="99" t="s">
        <v>313</v>
      </c>
      <c r="B721" s="3" cm="1">
        <f t="array" ref="B721">SUMPRODUCT((ISNUMBER(MATCH(ESTIMATE!$L$6:$L$205,A721,0)))*(ESTIMATE!$M$6:$M$205)*(ESTIMATE!$A$6:$A$205))</f>
        <v>0</v>
      </c>
      <c r="C721" s="100">
        <v>84.85</v>
      </c>
      <c r="D721" s="97">
        <f t="shared" si="12"/>
        <v>0</v>
      </c>
    </row>
    <row r="722" spans="1:4" ht="15">
      <c r="A722" s="99" t="s">
        <v>314</v>
      </c>
      <c r="B722" s="3" cm="1">
        <f t="array" ref="B722">SUMPRODUCT((ISNUMBER(MATCH(ESTIMATE!$L$6:$L$205,A722,0)))*(ESTIMATE!$M$6:$M$205)*(ESTIMATE!$A$6:$A$205))</f>
        <v>0</v>
      </c>
      <c r="C722" s="100">
        <v>90.2</v>
      </c>
      <c r="D722" s="97">
        <f t="shared" si="12"/>
        <v>0</v>
      </c>
    </row>
    <row r="723" spans="1:4" ht="15">
      <c r="A723" s="99" t="s">
        <v>315</v>
      </c>
      <c r="B723" s="3" cm="1">
        <f t="array" ref="B723">SUMPRODUCT((ISNUMBER(MATCH(ESTIMATE!$L$6:$L$205,A723,0)))*(ESTIMATE!$M$6:$M$205)*(ESTIMATE!$A$6:$A$205))</f>
        <v>0</v>
      </c>
      <c r="C723" s="100">
        <v>95.79</v>
      </c>
      <c r="D723" s="97">
        <f t="shared" si="12"/>
        <v>0</v>
      </c>
    </row>
    <row r="724" spans="1:4" ht="15">
      <c r="A724" s="99" t="s">
        <v>316</v>
      </c>
      <c r="B724" s="3" cm="1">
        <f t="array" ref="B724">SUMPRODUCT((ISNUMBER(MATCH(ESTIMATE!$L$6:$L$205,A724,0)))*(ESTIMATE!$M$6:$M$205)*(ESTIMATE!$A$6:$A$205))</f>
        <v>0</v>
      </c>
      <c r="C724" s="100">
        <v>101.39</v>
      </c>
      <c r="D724" s="97">
        <f t="shared" si="12"/>
        <v>0</v>
      </c>
    </row>
    <row r="725" spans="1:4" ht="15">
      <c r="A725" s="99" t="s">
        <v>317</v>
      </c>
      <c r="B725" s="3" cm="1">
        <f t="array" ref="B725">SUMPRODUCT((ISNUMBER(MATCH(ESTIMATE!$L$6:$L$205,A725,0)))*(ESTIMATE!$M$6:$M$205)*(ESTIMATE!$A$6:$A$205))</f>
        <v>0</v>
      </c>
      <c r="C725" s="100">
        <v>106.95</v>
      </c>
      <c r="D725" s="97">
        <f t="shared" si="12"/>
        <v>0</v>
      </c>
    </row>
    <row r="726" spans="1:4" ht="15">
      <c r="A726" s="99" t="s">
        <v>1344</v>
      </c>
      <c r="B726" s="3" cm="1">
        <f t="array" ref="B726">SUMPRODUCT((ISNUMBER(MATCH(ESTIMATE!$L$6:$L$205,A726,0)))*(ESTIMATE!$M$6:$M$205)*(ESTIMATE!$A$6:$A$205))</f>
        <v>0</v>
      </c>
      <c r="C726" s="101"/>
      <c r="D726" s="97">
        <f t="shared" si="12"/>
        <v>0</v>
      </c>
    </row>
    <row r="727" spans="1:4" ht="15">
      <c r="A727" s="99" t="s">
        <v>1345</v>
      </c>
      <c r="B727" s="3" cm="1">
        <f t="array" ref="B727">SUMPRODUCT((ISNUMBER(MATCH(ESTIMATE!$L$6:$L$205,A727,0)))*(ESTIMATE!$M$6:$M$205)*(ESTIMATE!$A$6:$A$205))</f>
        <v>0</v>
      </c>
      <c r="C727" s="100">
        <v>101.24</v>
      </c>
      <c r="D727" s="97">
        <f t="shared" si="12"/>
        <v>0</v>
      </c>
    </row>
    <row r="728" spans="1:4" ht="15">
      <c r="A728" s="99" t="s">
        <v>1346</v>
      </c>
      <c r="B728" s="3" cm="1">
        <f t="array" ref="B728">SUMPRODUCT((ISNUMBER(MATCH(ESTIMATE!$L$6:$L$205,A728,0)))*(ESTIMATE!$M$6:$M$205)*(ESTIMATE!$A$6:$A$205))</f>
        <v>0</v>
      </c>
      <c r="C728" s="100">
        <v>107.25</v>
      </c>
      <c r="D728" s="97">
        <f t="shared" si="12"/>
        <v>0</v>
      </c>
    </row>
    <row r="729" spans="1:4" ht="15">
      <c r="A729" s="99" t="s">
        <v>1347</v>
      </c>
      <c r="B729" s="3" cm="1">
        <f t="array" ref="B729">SUMPRODUCT((ISNUMBER(MATCH(ESTIMATE!$L$6:$L$205,A729,0)))*(ESTIMATE!$M$6:$M$205)*(ESTIMATE!$A$6:$A$205))</f>
        <v>0</v>
      </c>
      <c r="C729" s="100">
        <v>113.52</v>
      </c>
      <c r="D729" s="97">
        <f t="shared" si="12"/>
        <v>0</v>
      </c>
    </row>
    <row r="730" spans="1:4" ht="15">
      <c r="A730" s="99" t="s">
        <v>1348</v>
      </c>
      <c r="B730" s="3" cm="1">
        <f t="array" ref="B730">SUMPRODUCT((ISNUMBER(MATCH(ESTIMATE!$L$6:$L$205,A730,0)))*(ESTIMATE!$M$6:$M$205)*(ESTIMATE!$A$6:$A$205))</f>
        <v>0</v>
      </c>
      <c r="C730" s="100">
        <v>119.75</v>
      </c>
      <c r="D730" s="97">
        <f t="shared" ref="D730:D770" si="13">SUM(B730*C730)</f>
        <v>0</v>
      </c>
    </row>
    <row r="731" spans="1:4" ht="15">
      <c r="A731" s="99" t="s">
        <v>1349</v>
      </c>
      <c r="B731" s="3" cm="1">
        <f t="array" ref="B731">SUMPRODUCT((ISNUMBER(MATCH(ESTIMATE!$L$6:$L$205,A731,0)))*(ESTIMATE!$M$6:$M$205)*(ESTIMATE!$A$6:$A$205))</f>
        <v>0</v>
      </c>
      <c r="C731" s="100">
        <v>126.87</v>
      </c>
      <c r="D731" s="97">
        <f t="shared" si="13"/>
        <v>0</v>
      </c>
    </row>
    <row r="732" spans="1:4" ht="15">
      <c r="A732" s="99" t="s">
        <v>1350</v>
      </c>
      <c r="B732" s="3" cm="1">
        <f t="array" ref="B732">SUMPRODUCT((ISNUMBER(MATCH(ESTIMATE!$L$6:$L$205,A732,0)))*(ESTIMATE!$M$6:$M$205)*(ESTIMATE!$A$6:$A$205))</f>
        <v>0</v>
      </c>
      <c r="C732" s="100">
        <v>133.99</v>
      </c>
      <c r="D732" s="97">
        <f t="shared" si="13"/>
        <v>0</v>
      </c>
    </row>
    <row r="733" spans="1:4" ht="15">
      <c r="A733" s="99" t="s">
        <v>1351</v>
      </c>
      <c r="B733" s="3" cm="1">
        <f t="array" ref="B733">SUMPRODUCT((ISNUMBER(MATCH(ESTIMATE!$L$6:$L$205,A733,0)))*(ESTIMATE!$M$6:$M$205)*(ESTIMATE!$A$6:$A$205))</f>
        <v>0</v>
      </c>
      <c r="C733" s="100">
        <v>142.15</v>
      </c>
      <c r="D733" s="97">
        <f t="shared" si="13"/>
        <v>0</v>
      </c>
    </row>
    <row r="734" spans="1:4" ht="15">
      <c r="A734" s="99" t="s">
        <v>1352</v>
      </c>
      <c r="B734" s="3" cm="1">
        <f t="array" ref="B734">SUMPRODUCT((ISNUMBER(MATCH(ESTIMATE!$L$6:$L$205,A734,0)))*(ESTIMATE!$M$6:$M$205)*(ESTIMATE!$A$6:$A$205))</f>
        <v>0</v>
      </c>
      <c r="C734" s="100">
        <v>152.49</v>
      </c>
      <c r="D734" s="97">
        <f t="shared" si="13"/>
        <v>0</v>
      </c>
    </row>
    <row r="735" spans="1:4" ht="15">
      <c r="A735" s="99" t="s">
        <v>1353</v>
      </c>
      <c r="B735" s="3" cm="1">
        <f t="array" ref="B735">SUMPRODUCT((ISNUMBER(MATCH(ESTIMATE!$L$6:$L$205,A735,0)))*(ESTIMATE!$M$6:$M$205)*(ESTIMATE!$A$6:$A$205))</f>
        <v>0</v>
      </c>
      <c r="C735" s="100">
        <v>162.62</v>
      </c>
      <c r="D735" s="97">
        <f t="shared" si="13"/>
        <v>0</v>
      </c>
    </row>
    <row r="736" spans="1:4" ht="15">
      <c r="A736" s="99" t="s">
        <v>1354</v>
      </c>
      <c r="B736" s="3" cm="1">
        <f t="array" ref="B736">SUMPRODUCT((ISNUMBER(MATCH(ESTIMATE!$L$6:$L$205,A736,0)))*(ESTIMATE!$M$6:$M$205)*(ESTIMATE!$A$6:$A$205))</f>
        <v>0</v>
      </c>
      <c r="C736" s="101"/>
      <c r="D736" s="97">
        <f t="shared" si="13"/>
        <v>0</v>
      </c>
    </row>
    <row r="737" spans="1:4" ht="15">
      <c r="A737" s="99" t="s">
        <v>1355</v>
      </c>
      <c r="B737" s="3" cm="1">
        <f t="array" ref="B737">SUMPRODUCT((ISNUMBER(MATCH(ESTIMATE!$L$6:$L$205,A737,0)))*(ESTIMATE!$M$6:$M$205)*(ESTIMATE!$A$6:$A$205))</f>
        <v>0</v>
      </c>
      <c r="C737" s="100">
        <v>174.47</v>
      </c>
      <c r="D737" s="97">
        <f t="shared" si="13"/>
        <v>0</v>
      </c>
    </row>
    <row r="738" spans="1:4" ht="15">
      <c r="A738" s="99" t="s">
        <v>1356</v>
      </c>
      <c r="B738" s="3" cm="1">
        <f t="array" ref="B738">SUMPRODUCT((ISNUMBER(MATCH(ESTIMATE!$L$6:$L$205,A738,0)))*(ESTIMATE!$M$6:$M$205)*(ESTIMATE!$A$6:$A$205))</f>
        <v>0</v>
      </c>
      <c r="C738" s="100">
        <v>183.94</v>
      </c>
      <c r="D738" s="97">
        <f t="shared" si="13"/>
        <v>0</v>
      </c>
    </row>
    <row r="739" spans="1:4" ht="15">
      <c r="A739" s="99" t="s">
        <v>1357</v>
      </c>
      <c r="B739" s="3" cm="1">
        <f t="array" ref="B739">SUMPRODUCT((ISNUMBER(MATCH(ESTIMATE!$L$6:$L$205,A739,0)))*(ESTIMATE!$M$6:$M$205)*(ESTIMATE!$A$6:$A$205))</f>
        <v>0</v>
      </c>
      <c r="C739" s="100">
        <v>194.5</v>
      </c>
      <c r="D739" s="97">
        <f t="shared" si="13"/>
        <v>0</v>
      </c>
    </row>
    <row r="740" spans="1:4" ht="15">
      <c r="A740" s="99" t="s">
        <v>1358</v>
      </c>
      <c r="B740" s="3" cm="1">
        <f t="array" ref="B740">SUMPRODUCT((ISNUMBER(MATCH(ESTIMATE!$L$6:$L$205,A740,0)))*(ESTIMATE!$M$6:$M$205)*(ESTIMATE!$A$6:$A$205))</f>
        <v>0</v>
      </c>
      <c r="C740" s="100">
        <v>205.05</v>
      </c>
      <c r="D740" s="97">
        <f t="shared" si="13"/>
        <v>0</v>
      </c>
    </row>
    <row r="741" spans="1:4" ht="15">
      <c r="A741" s="99" t="s">
        <v>1359</v>
      </c>
      <c r="B741" s="3" cm="1">
        <f t="array" ref="B741">SUMPRODUCT((ISNUMBER(MATCH(ESTIMATE!$L$6:$L$205,A741,0)))*(ESTIMATE!$M$6:$M$205)*(ESTIMATE!$A$6:$A$205))</f>
        <v>0</v>
      </c>
      <c r="C741" s="100">
        <v>217.75</v>
      </c>
      <c r="D741" s="97">
        <f t="shared" si="13"/>
        <v>0</v>
      </c>
    </row>
    <row r="742" spans="1:4" ht="15">
      <c r="A742" s="99" t="s">
        <v>1360</v>
      </c>
      <c r="B742" s="3" cm="1">
        <f t="array" ref="B742">SUMPRODUCT((ISNUMBER(MATCH(ESTIMATE!$L$6:$L$205,A742,0)))*(ESTIMATE!$M$6:$M$205)*(ESTIMATE!$A$6:$A$205))</f>
        <v>0</v>
      </c>
      <c r="C742" s="100">
        <v>229.6</v>
      </c>
      <c r="D742" s="97">
        <f t="shared" si="13"/>
        <v>0</v>
      </c>
    </row>
    <row r="743" spans="1:4" ht="15">
      <c r="A743" s="99" t="s">
        <v>1361</v>
      </c>
      <c r="B743" s="3" cm="1">
        <f t="array" ref="B743">SUMPRODUCT((ISNUMBER(MATCH(ESTIMATE!$L$6:$L$205,A743,0)))*(ESTIMATE!$M$6:$M$205)*(ESTIMATE!$A$6:$A$205))</f>
        <v>0</v>
      </c>
      <c r="C743" s="100">
        <v>241.45</v>
      </c>
      <c r="D743" s="97">
        <f t="shared" si="13"/>
        <v>0</v>
      </c>
    </row>
    <row r="744" spans="1:4" ht="15">
      <c r="A744" s="99" t="s">
        <v>1362</v>
      </c>
      <c r="B744" s="3" cm="1">
        <f t="array" ref="B744">SUMPRODUCT((ISNUMBER(MATCH(ESTIMATE!$L$6:$L$205,A744,0)))*(ESTIMATE!$M$6:$M$205)*(ESTIMATE!$A$6:$A$205))</f>
        <v>0</v>
      </c>
      <c r="C744" s="100">
        <v>255.66</v>
      </c>
      <c r="D744" s="97">
        <f t="shared" si="13"/>
        <v>0</v>
      </c>
    </row>
    <row r="745" spans="1:4" ht="15">
      <c r="A745" s="99" t="s">
        <v>1363</v>
      </c>
      <c r="B745" s="3" cm="1">
        <f t="array" ref="B745">SUMPRODUCT((ISNUMBER(MATCH(ESTIMATE!$L$6:$L$205,A745,0)))*(ESTIMATE!$M$6:$M$205)*(ESTIMATE!$A$6:$A$205))</f>
        <v>0</v>
      </c>
      <c r="C745" s="100">
        <v>271.19</v>
      </c>
      <c r="D745" s="97">
        <f t="shared" si="13"/>
        <v>0</v>
      </c>
    </row>
    <row r="746" spans="1:4" ht="15">
      <c r="A746" s="99" t="s">
        <v>1364</v>
      </c>
      <c r="B746" s="3" cm="1">
        <f t="array" ref="B746">SUMPRODUCT((ISNUMBER(MATCH(ESTIMATE!$L$6:$L$205,A746,0)))*(ESTIMATE!$M$6:$M$205)*(ESTIMATE!$A$6:$A$205))</f>
        <v>0</v>
      </c>
      <c r="C746" s="100">
        <v>287.12</v>
      </c>
      <c r="D746" s="97">
        <f t="shared" si="13"/>
        <v>0</v>
      </c>
    </row>
    <row r="747" spans="1:4" ht="15">
      <c r="A747" s="99" t="s">
        <v>1365</v>
      </c>
      <c r="B747" s="3" cm="1">
        <f t="array" ref="B747">SUMPRODUCT((ISNUMBER(MATCH(ESTIMATE!$L$6:$L$205,A747,0)))*(ESTIMATE!$M$6:$M$205)*(ESTIMATE!$A$6:$A$205))</f>
        <v>0</v>
      </c>
      <c r="C747" s="100">
        <v>307.58999999999997</v>
      </c>
      <c r="D747" s="97">
        <f t="shared" si="13"/>
        <v>0</v>
      </c>
    </row>
    <row r="748" spans="1:4" ht="15">
      <c r="A748" s="99" t="s">
        <v>1366</v>
      </c>
      <c r="B748" s="3" cm="1">
        <f t="array" ref="B748">SUMPRODUCT((ISNUMBER(MATCH(ESTIMATE!$L$6:$L$205,A748,0)))*(ESTIMATE!$M$6:$M$205)*(ESTIMATE!$A$6:$A$205))</f>
        <v>0</v>
      </c>
      <c r="C748" s="100">
        <v>323.32</v>
      </c>
      <c r="D748" s="97">
        <f t="shared" si="13"/>
        <v>0</v>
      </c>
    </row>
    <row r="749" spans="1:4" ht="15">
      <c r="A749" s="99" t="s">
        <v>1367</v>
      </c>
      <c r="B749" s="3" cm="1">
        <f t="array" ref="B749">SUMPRODUCT((ISNUMBER(MATCH(ESTIMATE!$L$6:$L$205,A749,0)))*(ESTIMATE!$M$6:$M$205)*(ESTIMATE!$A$6:$A$205))</f>
        <v>0</v>
      </c>
      <c r="C749" s="100">
        <v>344.19</v>
      </c>
      <c r="D749" s="97">
        <f t="shared" si="13"/>
        <v>0</v>
      </c>
    </row>
    <row r="750" spans="1:4" ht="15">
      <c r="A750" s="99" t="s">
        <v>1368</v>
      </c>
      <c r="B750" s="3" cm="1">
        <f t="array" ref="B750">SUMPRODUCT((ISNUMBER(MATCH(ESTIMATE!$L$6:$L$205,A750,0)))*(ESTIMATE!$M$6:$M$205)*(ESTIMATE!$A$6:$A$205))</f>
        <v>0</v>
      </c>
      <c r="C750" s="100">
        <v>364.66</v>
      </c>
      <c r="D750" s="97">
        <f t="shared" si="13"/>
        <v>0</v>
      </c>
    </row>
    <row r="751" spans="1:4" ht="15">
      <c r="A751" s="99" t="s">
        <v>1369</v>
      </c>
      <c r="B751" s="3" cm="1">
        <f t="array" ref="B751">SUMPRODUCT((ISNUMBER(MATCH(ESTIMATE!$L$6:$L$205,A751,0)))*(ESTIMATE!$M$6:$M$205)*(ESTIMATE!$A$6:$A$205))</f>
        <v>0</v>
      </c>
      <c r="C751" s="100">
        <v>385.56</v>
      </c>
      <c r="D751" s="97">
        <f t="shared" si="13"/>
        <v>0</v>
      </c>
    </row>
    <row r="752" spans="1:4" ht="15">
      <c r="A752" s="99" t="s">
        <v>1370</v>
      </c>
      <c r="B752" s="3" cm="1">
        <f t="array" ref="B752">SUMPRODUCT((ISNUMBER(MATCH(ESTIMATE!$L$6:$L$205,A752,0)))*(ESTIMATE!$M$6:$M$205)*(ESTIMATE!$A$6:$A$205))</f>
        <v>0</v>
      </c>
      <c r="C752" s="100">
        <v>412.26</v>
      </c>
      <c r="D752" s="97">
        <f t="shared" si="13"/>
        <v>0</v>
      </c>
    </row>
    <row r="753" spans="1:4" ht="15">
      <c r="A753" s="99" t="s">
        <v>1371</v>
      </c>
      <c r="B753" s="3" cm="1">
        <f t="array" ref="B753">SUMPRODUCT((ISNUMBER(MATCH(ESTIMATE!$L$6:$L$205,A753,0)))*(ESTIMATE!$M$6:$M$205)*(ESTIMATE!$A$6:$A$205))</f>
        <v>0</v>
      </c>
      <c r="C753" s="100">
        <v>438.98</v>
      </c>
      <c r="D753" s="97">
        <f t="shared" si="13"/>
        <v>0</v>
      </c>
    </row>
    <row r="754" spans="1:4" ht="15">
      <c r="A754" s="99" t="s">
        <v>1372</v>
      </c>
      <c r="B754" s="3" cm="1">
        <f t="array" ref="B754">SUMPRODUCT((ISNUMBER(MATCH(ESTIMATE!$L$6:$L$205,A754,0)))*(ESTIMATE!$M$6:$M$205)*(ESTIMATE!$A$6:$A$205))</f>
        <v>0</v>
      </c>
      <c r="C754" s="100">
        <v>465.68</v>
      </c>
      <c r="D754" s="97">
        <f t="shared" si="13"/>
        <v>0</v>
      </c>
    </row>
    <row r="755" spans="1:4" ht="15">
      <c r="A755" s="99" t="s">
        <v>1373</v>
      </c>
      <c r="B755" s="3" cm="1">
        <f t="array" ref="B755">SUMPRODUCT((ISNUMBER(MATCH(ESTIMATE!$L$6:$L$205,A755,0)))*(ESTIMATE!$M$6:$M$205)*(ESTIMATE!$A$6:$A$205))</f>
        <v>0</v>
      </c>
      <c r="C755" s="100">
        <v>492.39</v>
      </c>
      <c r="D755" s="97">
        <f t="shared" si="13"/>
        <v>0</v>
      </c>
    </row>
    <row r="756" spans="1:4" ht="15">
      <c r="A756" s="99" t="s">
        <v>1374</v>
      </c>
      <c r="B756" s="3" cm="1">
        <f t="array" ref="B756">SUMPRODUCT((ISNUMBER(MATCH(ESTIMATE!$L$6:$L$205,A756,0)))*(ESTIMATE!$M$6:$M$205)*(ESTIMATE!$A$6:$A$205))</f>
        <v>0</v>
      </c>
      <c r="C756" s="100">
        <v>519.09</v>
      </c>
      <c r="D756" s="97">
        <f t="shared" si="13"/>
        <v>0</v>
      </c>
    </row>
    <row r="757" spans="1:4" ht="15">
      <c r="A757" s="99" t="s">
        <v>1375</v>
      </c>
      <c r="B757" s="3" cm="1">
        <f t="array" ref="B757">SUMPRODUCT((ISNUMBER(MATCH(ESTIMATE!$L$6:$L$205,A757,0)))*(ESTIMATE!$M$6:$M$205)*(ESTIMATE!$A$6:$A$205))</f>
        <v>0</v>
      </c>
      <c r="C757" s="100">
        <v>583.28</v>
      </c>
      <c r="D757" s="97">
        <f t="shared" si="13"/>
        <v>0</v>
      </c>
    </row>
    <row r="758" spans="1:4" ht="15">
      <c r="A758" s="99" t="s">
        <v>1376</v>
      </c>
      <c r="B758" s="3" cm="1">
        <f t="array" ref="B758">SUMPRODUCT((ISNUMBER(MATCH(ESTIMATE!$L$6:$L$205,A758,0)))*(ESTIMATE!$M$6:$M$205)*(ESTIMATE!$A$6:$A$205))</f>
        <v>0</v>
      </c>
      <c r="C758" s="100">
        <v>100.49</v>
      </c>
      <c r="D758" s="97">
        <f t="shared" si="13"/>
        <v>0</v>
      </c>
    </row>
    <row r="759" spans="1:4" ht="15">
      <c r="A759" s="99" t="s">
        <v>1377</v>
      </c>
      <c r="B759" s="3" cm="1">
        <f t="array" ref="B759">SUMPRODUCT((ISNUMBER(MATCH(ESTIMATE!$L$6:$L$205,A759,0)))*(ESTIMATE!$M$6:$M$205)*(ESTIMATE!$A$6:$A$205))</f>
        <v>0</v>
      </c>
      <c r="C759" s="100">
        <v>106.45</v>
      </c>
      <c r="D759" s="97">
        <f t="shared" si="13"/>
        <v>0</v>
      </c>
    </row>
    <row r="760" spans="1:4" ht="15">
      <c r="A760" s="99" t="s">
        <v>1378</v>
      </c>
      <c r="B760" s="3" cm="1">
        <f t="array" ref="B760">SUMPRODUCT((ISNUMBER(MATCH(ESTIMATE!$L$6:$L$205,A760,0)))*(ESTIMATE!$M$6:$M$205)*(ESTIMATE!$A$6:$A$205))</f>
        <v>0</v>
      </c>
      <c r="C760" s="100">
        <v>112.65</v>
      </c>
      <c r="D760" s="97">
        <f t="shared" si="13"/>
        <v>0</v>
      </c>
    </row>
    <row r="761" spans="1:4" ht="15">
      <c r="A761" s="99" t="s">
        <v>1379</v>
      </c>
      <c r="B761" s="3" cm="1">
        <f t="array" ref="B761">SUMPRODUCT((ISNUMBER(MATCH(ESTIMATE!$L$6:$L$205,A761,0)))*(ESTIMATE!$M$6:$M$205)*(ESTIMATE!$A$6:$A$205))</f>
        <v>0</v>
      </c>
      <c r="C761" s="100">
        <v>118.85</v>
      </c>
      <c r="D761" s="97">
        <f t="shared" si="13"/>
        <v>0</v>
      </c>
    </row>
    <row r="762" spans="1:4" ht="15">
      <c r="A762" s="99" t="s">
        <v>1380</v>
      </c>
      <c r="B762" s="3" cm="1">
        <f t="array" ref="B762">SUMPRODUCT((ISNUMBER(MATCH(ESTIMATE!$L$6:$L$205,A762,0)))*(ESTIMATE!$M$6:$M$205)*(ESTIMATE!$A$6:$A$205))</f>
        <v>0</v>
      </c>
      <c r="C762" s="100">
        <v>125.9</v>
      </c>
      <c r="D762" s="97">
        <f t="shared" si="13"/>
        <v>0</v>
      </c>
    </row>
    <row r="763" spans="1:4" ht="15">
      <c r="A763" s="99" t="s">
        <v>1381</v>
      </c>
      <c r="B763" s="3" cm="1">
        <f t="array" ref="B763">SUMPRODUCT((ISNUMBER(MATCH(ESTIMATE!$L$6:$L$205,A763,0)))*(ESTIMATE!$M$6:$M$205)*(ESTIMATE!$A$6:$A$205))</f>
        <v>0</v>
      </c>
      <c r="C763" s="100">
        <v>132.99</v>
      </c>
      <c r="D763" s="97">
        <f t="shared" si="13"/>
        <v>0</v>
      </c>
    </row>
    <row r="764" spans="1:4" ht="15">
      <c r="A764" s="99" t="s">
        <v>1382</v>
      </c>
      <c r="B764" s="3" cm="1">
        <f t="array" ref="B764">SUMPRODUCT((ISNUMBER(MATCH(ESTIMATE!$L$6:$L$205,A764,0)))*(ESTIMATE!$M$6:$M$205)*(ESTIMATE!$A$6:$A$205))</f>
        <v>0</v>
      </c>
      <c r="C764" s="100">
        <v>141.09</v>
      </c>
      <c r="D764" s="97">
        <f t="shared" si="13"/>
        <v>0</v>
      </c>
    </row>
    <row r="765" spans="1:4" ht="15">
      <c r="A765" s="99" t="s">
        <v>1383</v>
      </c>
      <c r="B765" s="3" cm="1">
        <f t="array" ref="B765">SUMPRODUCT((ISNUMBER(MATCH(ESTIMATE!$L$6:$L$205,A765,0)))*(ESTIMATE!$M$6:$M$205)*(ESTIMATE!$A$6:$A$205))</f>
        <v>0</v>
      </c>
      <c r="C765" s="100">
        <v>151.34</v>
      </c>
      <c r="D765" s="97">
        <f t="shared" si="13"/>
        <v>0</v>
      </c>
    </row>
    <row r="766" spans="1:4" ht="15">
      <c r="A766" s="99" t="s">
        <v>1384</v>
      </c>
      <c r="B766" s="3" cm="1">
        <f t="array" ref="B766">SUMPRODUCT((ISNUMBER(MATCH(ESTIMATE!$L$6:$L$205,A766,0)))*(ESTIMATE!$M$6:$M$205)*(ESTIMATE!$A$6:$A$205))</f>
        <v>0</v>
      </c>
      <c r="C766" s="100">
        <v>161.4</v>
      </c>
      <c r="D766" s="97">
        <f t="shared" si="13"/>
        <v>0</v>
      </c>
    </row>
    <row r="767" spans="1:4" ht="15">
      <c r="A767" s="99" t="s">
        <v>1385</v>
      </c>
      <c r="B767" s="3" cm="1">
        <f t="array" ref="B767">SUMPRODUCT((ISNUMBER(MATCH(ESTIMATE!$L$6:$L$205,A767,0)))*(ESTIMATE!$M$6:$M$205)*(ESTIMATE!$A$6:$A$205))</f>
        <v>0</v>
      </c>
      <c r="C767" s="100">
        <v>173.15</v>
      </c>
      <c r="D767" s="97">
        <f t="shared" si="13"/>
        <v>0</v>
      </c>
    </row>
    <row r="768" spans="1:4" ht="15">
      <c r="A768" s="99" t="s">
        <v>1386</v>
      </c>
      <c r="B768" s="3" cm="1">
        <f t="array" ref="B768">SUMPRODUCT((ISNUMBER(MATCH(ESTIMATE!$L$6:$L$205,A768,0)))*(ESTIMATE!$M$6:$M$205)*(ESTIMATE!$A$6:$A$205))</f>
        <v>0</v>
      </c>
      <c r="C768" s="100">
        <v>182.57</v>
      </c>
      <c r="D768" s="97">
        <f t="shared" si="13"/>
        <v>0</v>
      </c>
    </row>
    <row r="769" spans="1:4" ht="15">
      <c r="A769" s="99" t="s">
        <v>1387</v>
      </c>
      <c r="B769" s="3" cm="1">
        <f t="array" ref="B769">SUMPRODUCT((ISNUMBER(MATCH(ESTIMATE!$L$6:$L$205,A769,0)))*(ESTIMATE!$M$6:$M$205)*(ESTIMATE!$A$6:$A$205))</f>
        <v>0</v>
      </c>
      <c r="C769" s="100">
        <v>193.04</v>
      </c>
      <c r="D769" s="97">
        <f t="shared" si="13"/>
        <v>0</v>
      </c>
    </row>
    <row r="770" spans="1:4" ht="15">
      <c r="A770" s="99" t="s">
        <v>1388</v>
      </c>
      <c r="B770" s="3" cm="1">
        <f t="array" ref="B770">SUMPRODUCT((ISNUMBER(MATCH(ESTIMATE!$L$6:$L$205,A770,0)))*(ESTIMATE!$M$6:$M$205)*(ESTIMATE!$A$6:$A$205))</f>
        <v>0</v>
      </c>
      <c r="C770" s="100">
        <v>203.52</v>
      </c>
      <c r="D770" s="97">
        <f t="shared" si="13"/>
        <v>0</v>
      </c>
    </row>
    <row r="771" spans="1:4">
      <c r="D771" s="96">
        <f>SUM(D3:D770)</f>
        <v>0</v>
      </c>
    </row>
    <row r="772" spans="1:4"/>
    <row r="773" spans="1:4"/>
    <row r="774" spans="1:4"/>
  </sheetData>
  <sheetProtection algorithmName="SHA-512" hashValue="wlDg84oUdq0bRpBXbiJnf+jJ92aedpi+IoZCyom0vKC0HrAdZH2rYKUbM7KQ7B1DsJ3q7g+Jm6oqAXOZwCKBbQ==" saltValue="E39a8RsJ9VdwtNCrNPQoBw==" spinCount="100000" sheet="1" objects="1" scenarios="1"/>
  <conditionalFormatting sqref="A1:A1048576">
    <cfRule type="duplicateValues" dxfId="0" priority="1"/>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2F5-1BF1-456E-8247-F1B597878BFB}">
  <sheetPr codeName="Sheet23"/>
  <dimension ref="A1:I51"/>
  <sheetViews>
    <sheetView workbookViewId="0">
      <selection activeCell="H3" sqref="H3"/>
    </sheetView>
  </sheetViews>
  <sheetFormatPr defaultColWidth="0" defaultRowHeight="12.75" zeroHeight="1"/>
  <cols>
    <col min="1" max="1" width="13.7109375" customWidth="1"/>
    <col min="2" max="9" width="9.140625" customWidth="1"/>
    <col min="10" max="16384" width="9.140625" hidden="1"/>
  </cols>
  <sheetData>
    <row r="1" spans="1:9" ht="15.75">
      <c r="A1" s="684" t="s">
        <v>1648</v>
      </c>
      <c r="B1" s="684"/>
      <c r="C1" s="35"/>
      <c r="D1" s="35"/>
      <c r="E1" s="35"/>
    </row>
    <row r="2" spans="1:9">
      <c r="A2" s="1" t="s">
        <v>139</v>
      </c>
      <c r="B2" s="1" t="s">
        <v>1390</v>
      </c>
      <c r="C2" s="1" t="s">
        <v>1391</v>
      </c>
      <c r="D2" s="1" t="s">
        <v>1392</v>
      </c>
      <c r="E2" s="1" t="s">
        <v>1393</v>
      </c>
      <c r="G2" s="1" t="s">
        <v>1644</v>
      </c>
    </row>
    <row r="3" spans="1:9">
      <c r="A3" s="85" t="s">
        <v>722</v>
      </c>
      <c r="B3" s="86" t="s">
        <v>723</v>
      </c>
      <c r="C3" s="87" cm="1">
        <f t="array" ref="C3">SUMPRODUCT((ISNUMBER(MATCH(ESTIMATE!$N$6:$N205,FILTERS!A3,0)))*(ESTIMATE!$O$6:$O205)*(ESTIMATE!$A$6:$A205))</f>
        <v>0</v>
      </c>
      <c r="D3" s="88">
        <v>2.98</v>
      </c>
      <c r="E3" s="89">
        <f>C3*D3</f>
        <v>0</v>
      </c>
      <c r="G3" s="24" t="s">
        <v>1174</v>
      </c>
      <c r="H3" s="691">
        <f>E49+H2</f>
        <v>0</v>
      </c>
    </row>
    <row r="4" spans="1:9">
      <c r="A4" s="85" t="s">
        <v>724</v>
      </c>
      <c r="B4" s="86" t="s">
        <v>723</v>
      </c>
      <c r="C4" s="87" cm="1">
        <f t="array" ref="C4">SUMPRODUCT((ISNUMBER(MATCH(ESTIMATE!$N$6:$N$205,FILTERS!A4,0)))*(ESTIMATE!$O$6:$O$205)*(ESTIMATE!$A$6:$A$205))</f>
        <v>0</v>
      </c>
      <c r="D4" s="88">
        <v>2.98</v>
      </c>
      <c r="E4" s="89">
        <f t="shared" ref="E4:E47" si="0">C4*D4</f>
        <v>0</v>
      </c>
    </row>
    <row r="5" spans="1:9">
      <c r="A5" s="85" t="s">
        <v>725</v>
      </c>
      <c r="B5" s="86" t="s">
        <v>723</v>
      </c>
      <c r="C5" s="87" cm="1">
        <f t="array" ref="C5">SUMPRODUCT((ISNUMBER(MATCH(ESTIMATE!$N$6:$N$205,FILTERS!A5,0)))*(ESTIMATE!$O$6:$O$205)*(ESTIMATE!$A$6:$A$205))</f>
        <v>0</v>
      </c>
      <c r="D5" s="88">
        <v>2.98</v>
      </c>
      <c r="E5" s="89">
        <f t="shared" si="0"/>
        <v>0</v>
      </c>
    </row>
    <row r="6" spans="1:9">
      <c r="A6" s="85" t="s">
        <v>726</v>
      </c>
      <c r="B6" s="86" t="s">
        <v>723</v>
      </c>
      <c r="C6" s="87" cm="1">
        <f t="array" ref="C6">SUMPRODUCT((ISNUMBER(MATCH(ESTIMATE!$N$6:$N$205,FILTERS!A6,0)))*(ESTIMATE!$O$6:$O$205)*(ESTIMATE!$A$6:$A$205))</f>
        <v>0</v>
      </c>
      <c r="D6" s="88">
        <v>5.72</v>
      </c>
      <c r="E6" s="89">
        <f t="shared" si="0"/>
        <v>0</v>
      </c>
    </row>
    <row r="7" spans="1:9">
      <c r="A7" s="85" t="s">
        <v>727</v>
      </c>
      <c r="B7" s="86" t="s">
        <v>723</v>
      </c>
      <c r="C7" s="87" cm="1">
        <f t="array" ref="C7">SUMPRODUCT((ISNUMBER(MATCH(ESTIMATE!$N$6:$N$205,FILTERS!A7,0)))*(ESTIMATE!$O$6:$O$205)*(ESTIMATE!$A$6:$A$205))</f>
        <v>0</v>
      </c>
      <c r="D7" s="88">
        <v>2.97</v>
      </c>
      <c r="E7" s="89">
        <f t="shared" si="0"/>
        <v>0</v>
      </c>
    </row>
    <row r="8" spans="1:9">
      <c r="A8" s="85" t="s">
        <v>728</v>
      </c>
      <c r="B8" s="86" t="s">
        <v>723</v>
      </c>
      <c r="C8" s="87" cm="1">
        <f t="array" ref="C8">SUMPRODUCT((ISNUMBER(MATCH(ESTIMATE!$N$6:$N$205,FILTERS!A8,0)))*(ESTIMATE!$O$6:$O$205)*(ESTIMATE!$A$6:$A$205))</f>
        <v>0</v>
      </c>
      <c r="D8" s="88">
        <v>3.28</v>
      </c>
      <c r="E8" s="89">
        <f t="shared" si="0"/>
        <v>0</v>
      </c>
    </row>
    <row r="9" spans="1:9">
      <c r="A9" s="85" t="s">
        <v>729</v>
      </c>
      <c r="B9" s="86" t="s">
        <v>723</v>
      </c>
      <c r="C9" s="87" cm="1">
        <f t="array" ref="C9">SUMPRODUCT((ISNUMBER(MATCH(ESTIMATE!$N$6:$N$205,FILTERS!A9,0)))*(ESTIMATE!$O$6:$O$205)*(ESTIMATE!$A$6:$A$205))</f>
        <v>0</v>
      </c>
      <c r="D9" s="88">
        <v>2.98</v>
      </c>
      <c r="E9" s="89">
        <f t="shared" si="0"/>
        <v>0</v>
      </c>
    </row>
    <row r="10" spans="1:9">
      <c r="A10" s="85" t="s">
        <v>730</v>
      </c>
      <c r="B10" s="86" t="s">
        <v>723</v>
      </c>
      <c r="C10" s="87" cm="1">
        <f t="array" ref="C10">SUMPRODUCT((ISNUMBER(MATCH(ESTIMATE!$N$6:$N$205,FILTERS!A10,0)))*(ESTIMATE!$O$6:$O$205)*(ESTIMATE!$A$6:$A$205))</f>
        <v>0</v>
      </c>
      <c r="D10" s="88">
        <v>3.83</v>
      </c>
      <c r="E10" s="89">
        <f t="shared" si="0"/>
        <v>0</v>
      </c>
    </row>
    <row r="11" spans="1:9">
      <c r="A11" s="85" t="s">
        <v>731</v>
      </c>
      <c r="B11" s="86" t="s">
        <v>723</v>
      </c>
      <c r="C11" s="87" cm="1">
        <f t="array" ref="C11">SUMPRODUCT((ISNUMBER(MATCH(ESTIMATE!$N$6:$N$205,FILTERS!A11,0)))*(ESTIMATE!$O$6:$O$205)*(ESTIMATE!$A$6:$A$205))</f>
        <v>0</v>
      </c>
      <c r="D11" s="88">
        <v>2.98</v>
      </c>
      <c r="E11" s="89">
        <f t="shared" si="0"/>
        <v>0</v>
      </c>
    </row>
    <row r="12" spans="1:9">
      <c r="A12" s="85" t="s">
        <v>732</v>
      </c>
      <c r="B12" s="86" t="s">
        <v>723</v>
      </c>
      <c r="C12" s="87" cm="1">
        <f t="array" ref="C12">SUMPRODUCT((ISNUMBER(MATCH(ESTIMATE!$N$6:$N$205,FILTERS!A12,0)))*(ESTIMATE!$O$6:$O$205)*(ESTIMATE!$A$6:$A$205))</f>
        <v>0</v>
      </c>
      <c r="D12" s="88">
        <v>3.28</v>
      </c>
      <c r="E12" s="89">
        <f t="shared" si="0"/>
        <v>0</v>
      </c>
    </row>
    <row r="13" spans="1:9">
      <c r="A13" s="85" t="s">
        <v>733</v>
      </c>
      <c r="B13" s="86" t="s">
        <v>723</v>
      </c>
      <c r="C13" s="87" cm="1">
        <f t="array" ref="C13">SUMPRODUCT((ISNUMBER(MATCH(ESTIMATE!$N$6:$N$205,FILTERS!A13,0)))*(ESTIMATE!$O$6:$O$205)*(ESTIMATE!$A$6:$A$205))</f>
        <v>0</v>
      </c>
      <c r="D13" s="88">
        <v>3.28</v>
      </c>
      <c r="E13" s="89">
        <f t="shared" si="0"/>
        <v>0</v>
      </c>
      <c r="I13" s="17"/>
    </row>
    <row r="14" spans="1:9">
      <c r="A14" s="85" t="s">
        <v>734</v>
      </c>
      <c r="B14" s="86" t="s">
        <v>723</v>
      </c>
      <c r="C14" s="87" cm="1">
        <f t="array" ref="C14">SUMPRODUCT((ISNUMBER(MATCH(ESTIMATE!$N$6:$N$205,FILTERS!A14,0)))*(ESTIMATE!$O$6:$O$205)*(ESTIMATE!$A$6:$A$205))</f>
        <v>0</v>
      </c>
      <c r="D14" s="88">
        <v>3.83</v>
      </c>
      <c r="E14" s="89">
        <f t="shared" si="0"/>
        <v>0</v>
      </c>
    </row>
    <row r="15" spans="1:9">
      <c r="A15" s="85" t="s">
        <v>735</v>
      </c>
      <c r="B15" s="86" t="s">
        <v>723</v>
      </c>
      <c r="C15" s="87" cm="1">
        <f t="array" ref="C15">SUMPRODUCT((ISNUMBER(MATCH(ESTIMATE!$N$6:$N$205,FILTERS!A15,0)))*(ESTIMATE!$O$6:$O$205)*(ESTIMATE!$A$6:$A$205))</f>
        <v>0</v>
      </c>
      <c r="D15" s="88">
        <v>3.83</v>
      </c>
      <c r="E15" s="89">
        <f t="shared" si="0"/>
        <v>0</v>
      </c>
    </row>
    <row r="16" spans="1:9">
      <c r="A16" s="85" t="s">
        <v>736</v>
      </c>
      <c r="B16" s="86" t="s">
        <v>723</v>
      </c>
      <c r="C16" s="87" cm="1">
        <f t="array" ref="C16">SUMPRODUCT((ISNUMBER(MATCH(ESTIMATE!$N$6:$N$205,FILTERS!A16,0)))*(ESTIMATE!$O$6:$O$205)*(ESTIMATE!$A$6:$A$205))</f>
        <v>0</v>
      </c>
      <c r="D16" s="88">
        <v>3.63</v>
      </c>
      <c r="E16" s="89">
        <f t="shared" si="0"/>
        <v>0</v>
      </c>
    </row>
    <row r="17" spans="1:5">
      <c r="A17" s="85" t="s">
        <v>737</v>
      </c>
      <c r="B17" s="86" t="s">
        <v>723</v>
      </c>
      <c r="C17" s="87" cm="1">
        <f t="array" ref="C17">SUMPRODUCT((ISNUMBER(MATCH(ESTIMATE!$N$6:$N$205,FILTERS!A17,0)))*(ESTIMATE!$O$6:$O$205)*(ESTIMATE!$A$6:$A$205))</f>
        <v>0</v>
      </c>
      <c r="D17" s="88">
        <v>3.63</v>
      </c>
      <c r="E17" s="89">
        <f t="shared" si="0"/>
        <v>0</v>
      </c>
    </row>
    <row r="18" spans="1:5">
      <c r="A18" s="85" t="s">
        <v>738</v>
      </c>
      <c r="B18" s="86" t="s">
        <v>723</v>
      </c>
      <c r="C18" s="87" cm="1">
        <f t="array" ref="C18">SUMPRODUCT((ISNUMBER(MATCH(ESTIMATE!$N$6:$N$205,FILTERS!A18,0)))*(ESTIMATE!$O$6:$O$205)*(ESTIMATE!$A$6:$A$205))</f>
        <v>0</v>
      </c>
      <c r="D18" s="88">
        <v>3.28</v>
      </c>
      <c r="E18" s="89">
        <f t="shared" si="0"/>
        <v>0</v>
      </c>
    </row>
    <row r="19" spans="1:5">
      <c r="A19" s="85" t="s">
        <v>739</v>
      </c>
      <c r="B19" s="86" t="s">
        <v>723</v>
      </c>
      <c r="C19" s="87" cm="1">
        <f t="array" ref="C19">SUMPRODUCT((ISNUMBER(MATCH(ESTIMATE!$N$6:$N$205,FILTERS!A19,0)))*(ESTIMATE!$O$6:$O$205)*(ESTIMATE!$A$6:$A$205))</f>
        <v>0</v>
      </c>
      <c r="D19" s="88">
        <v>3.63</v>
      </c>
      <c r="E19" s="89">
        <f t="shared" si="0"/>
        <v>0</v>
      </c>
    </row>
    <row r="20" spans="1:5">
      <c r="A20" s="85" t="s">
        <v>740</v>
      </c>
      <c r="B20" s="86" t="s">
        <v>723</v>
      </c>
      <c r="C20" s="87" cm="1">
        <f t="array" ref="C20">SUMPRODUCT((ISNUMBER(MATCH(ESTIMATE!$N$6:$N$205,FILTERS!A20,0)))*(ESTIMATE!$O$6:$O$205)*(ESTIMATE!$A$6:$A$205))</f>
        <v>0</v>
      </c>
      <c r="D20" s="88">
        <v>3.63</v>
      </c>
      <c r="E20" s="89">
        <f t="shared" si="0"/>
        <v>0</v>
      </c>
    </row>
    <row r="21" spans="1:5">
      <c r="A21" s="85" t="s">
        <v>741</v>
      </c>
      <c r="B21" s="86" t="s">
        <v>723</v>
      </c>
      <c r="C21" s="87" cm="1">
        <f t="array" ref="C21">SUMPRODUCT((ISNUMBER(MATCH(ESTIMATE!$N$6:$N$205,FILTERS!A21,0)))*(ESTIMATE!$O$6:$O$205)*(ESTIMATE!$A$6:$A$205))</f>
        <v>0</v>
      </c>
      <c r="D21" s="88">
        <v>4.28</v>
      </c>
      <c r="E21" s="89">
        <f t="shared" si="0"/>
        <v>0</v>
      </c>
    </row>
    <row r="22" spans="1:5">
      <c r="A22" s="85" t="s">
        <v>742</v>
      </c>
      <c r="B22" s="86" t="s">
        <v>723</v>
      </c>
      <c r="C22" s="87" cm="1">
        <f t="array" ref="C22">SUMPRODUCT((ISNUMBER(MATCH(ESTIMATE!$N$6:$N$205,FILTERS!A22,0)))*(ESTIMATE!$O$6:$O$205)*(ESTIMATE!$A$6:$A$205))</f>
        <v>0</v>
      </c>
      <c r="D22" s="88">
        <v>3.78</v>
      </c>
      <c r="E22" s="89">
        <f t="shared" si="0"/>
        <v>0</v>
      </c>
    </row>
    <row r="23" spans="1:5">
      <c r="A23" s="85" t="s">
        <v>743</v>
      </c>
      <c r="B23" s="86" t="s">
        <v>723</v>
      </c>
      <c r="C23" s="87" cm="1">
        <f t="array" ref="C23">SUMPRODUCT((ISNUMBER(MATCH(ESTIMATE!$N$6:$N$205,FILTERS!A23,0)))*(ESTIMATE!$O$6:$O$205)*(ESTIMATE!$A$6:$A$205))</f>
        <v>0</v>
      </c>
      <c r="D23" s="88">
        <v>4.28</v>
      </c>
      <c r="E23" s="89">
        <f t="shared" si="0"/>
        <v>0</v>
      </c>
    </row>
    <row r="24" spans="1:5">
      <c r="A24" s="85" t="s">
        <v>744</v>
      </c>
      <c r="B24" s="86" t="s">
        <v>723</v>
      </c>
      <c r="C24" s="87" cm="1">
        <f t="array" ref="C24">SUMPRODUCT((ISNUMBER(MATCH(ESTIMATE!$N$6:$N$205,FILTERS!A24,0)))*(ESTIMATE!$O$6:$O$205)*(ESTIMATE!$A$6:$A$205))</f>
        <v>0</v>
      </c>
      <c r="D24" s="88">
        <v>2.83</v>
      </c>
      <c r="E24" s="89">
        <f t="shared" si="0"/>
        <v>0</v>
      </c>
    </row>
    <row r="25" spans="1:5">
      <c r="A25" s="85" t="s">
        <v>745</v>
      </c>
      <c r="B25" s="86" t="s">
        <v>723</v>
      </c>
      <c r="C25" s="87" cm="1">
        <f t="array" ref="C25">SUMPRODUCT((ISNUMBER(MATCH(ESTIMATE!$N$6:$N$205,FILTERS!A25,0)))*(ESTIMATE!$O$6:$O$205)*(ESTIMATE!$A$6:$A$205))</f>
        <v>0</v>
      </c>
      <c r="D25" s="88">
        <v>2.83</v>
      </c>
      <c r="E25" s="89">
        <f t="shared" si="0"/>
        <v>0</v>
      </c>
    </row>
    <row r="26" spans="1:5">
      <c r="A26" s="85" t="s">
        <v>746</v>
      </c>
      <c r="B26" s="86" t="s">
        <v>723</v>
      </c>
      <c r="C26" s="87" cm="1">
        <f t="array" ref="C26">SUMPRODUCT((ISNUMBER(MATCH(ESTIMATE!$N$6:$N$205,FILTERS!A26,0)))*(ESTIMATE!$O$6:$O$205)*(ESTIMATE!$A$6:$A$205))</f>
        <v>0</v>
      </c>
      <c r="D26" s="88">
        <v>3.09</v>
      </c>
      <c r="E26" s="89">
        <f t="shared" si="0"/>
        <v>0</v>
      </c>
    </row>
    <row r="27" spans="1:5">
      <c r="A27" s="85" t="s">
        <v>747</v>
      </c>
      <c r="B27" s="86" t="s">
        <v>723</v>
      </c>
      <c r="C27" s="87" cm="1">
        <f t="array" ref="C27">SUMPRODUCT((ISNUMBER(MATCH(ESTIMATE!$N$6:$N$205,FILTERS!A27,0)))*(ESTIMATE!$O$6:$O$205)*(ESTIMATE!$A$6:$A$205))</f>
        <v>0</v>
      </c>
      <c r="D27" s="88">
        <v>2.83</v>
      </c>
      <c r="E27" s="89">
        <f t="shared" si="0"/>
        <v>0</v>
      </c>
    </row>
    <row r="28" spans="1:5">
      <c r="A28" s="85" t="s">
        <v>748</v>
      </c>
      <c r="B28" s="86" t="s">
        <v>723</v>
      </c>
      <c r="C28" s="87" cm="1">
        <f t="array" ref="C28">SUMPRODUCT((ISNUMBER(MATCH(ESTIMATE!$N$6:$N$205,FILTERS!A28,0)))*(ESTIMATE!$O$6:$O$205)*(ESTIMATE!$A$6:$A$205))</f>
        <v>0</v>
      </c>
      <c r="D28" s="88">
        <v>3.72</v>
      </c>
      <c r="E28" s="89">
        <f t="shared" si="0"/>
        <v>0</v>
      </c>
    </row>
    <row r="29" spans="1:5">
      <c r="A29" s="85" t="s">
        <v>749</v>
      </c>
      <c r="B29" s="86" t="s">
        <v>723</v>
      </c>
      <c r="C29" s="87" cm="1">
        <f t="array" ref="C29">SUMPRODUCT((ISNUMBER(MATCH(ESTIMATE!$N$6:$N$205,FILTERS!A29,0)))*(ESTIMATE!$O$6:$O$205)*(ESTIMATE!$A$6:$A$205))</f>
        <v>0</v>
      </c>
      <c r="D29" s="88">
        <v>2.83</v>
      </c>
      <c r="E29" s="89">
        <f t="shared" si="0"/>
        <v>0</v>
      </c>
    </row>
    <row r="30" spans="1:5">
      <c r="A30" s="85" t="s">
        <v>750</v>
      </c>
      <c r="B30" s="86" t="s">
        <v>723</v>
      </c>
      <c r="C30" s="87" cm="1">
        <f t="array" ref="C30">SUMPRODUCT((ISNUMBER(MATCH(ESTIMATE!$N$6:$N$205,FILTERS!A30,0)))*(ESTIMATE!$O$6:$O$205)*(ESTIMATE!$A$6:$A$205))</f>
        <v>0</v>
      </c>
      <c r="D30" s="88">
        <v>3.09</v>
      </c>
      <c r="E30" s="89">
        <f t="shared" si="0"/>
        <v>0</v>
      </c>
    </row>
    <row r="31" spans="1:5">
      <c r="A31" s="85" t="s">
        <v>751</v>
      </c>
      <c r="B31" s="86" t="s">
        <v>723</v>
      </c>
      <c r="C31" s="87" cm="1">
        <f t="array" ref="C31">SUMPRODUCT((ISNUMBER(MATCH(ESTIMATE!$N$6:$N$205,FILTERS!A31,0)))*(ESTIMATE!$O$6:$O$205)*(ESTIMATE!$A$6:$A$205))</f>
        <v>0</v>
      </c>
      <c r="D31" s="88">
        <v>3.09</v>
      </c>
      <c r="E31" s="89">
        <f t="shared" si="0"/>
        <v>0</v>
      </c>
    </row>
    <row r="32" spans="1:5">
      <c r="A32" s="85" t="s">
        <v>752</v>
      </c>
      <c r="B32" s="86" t="s">
        <v>723</v>
      </c>
      <c r="C32" s="87" cm="1">
        <f t="array" ref="C32">SUMPRODUCT((ISNUMBER(MATCH(ESTIMATE!$N$6:$N$205,FILTERS!A32,0)))*(ESTIMATE!$O$6:$O$205)*(ESTIMATE!$A$6:$A$205))</f>
        <v>0</v>
      </c>
      <c r="D32" s="88">
        <v>3.77</v>
      </c>
      <c r="E32" s="89">
        <f t="shared" si="0"/>
        <v>0</v>
      </c>
    </row>
    <row r="33" spans="1:5">
      <c r="A33" s="85" t="s">
        <v>753</v>
      </c>
      <c r="B33" s="86" t="s">
        <v>723</v>
      </c>
      <c r="C33" s="87" cm="1">
        <f t="array" ref="C33">SUMPRODUCT((ISNUMBER(MATCH(ESTIMATE!$N$6:$N$205,FILTERS!A33,0)))*(ESTIMATE!$O$6:$O$205)*(ESTIMATE!$A$6:$A$205))</f>
        <v>0</v>
      </c>
      <c r="D33" s="88">
        <v>3.43</v>
      </c>
      <c r="E33" s="89">
        <f t="shared" si="0"/>
        <v>0</v>
      </c>
    </row>
    <row r="34" spans="1:5">
      <c r="A34" s="85" t="s">
        <v>754</v>
      </c>
      <c r="B34" s="86" t="s">
        <v>723</v>
      </c>
      <c r="C34" s="87" cm="1">
        <f t="array" ref="C34">SUMPRODUCT((ISNUMBER(MATCH(ESTIMATE!$N$6:$N$205,FILTERS!A34,0)))*(ESTIMATE!$O$6:$O$205)*(ESTIMATE!$A$6:$A$205))</f>
        <v>0</v>
      </c>
      <c r="D34" s="88">
        <v>4.1399999999999997</v>
      </c>
      <c r="E34" s="89">
        <f t="shared" si="0"/>
        <v>0</v>
      </c>
    </row>
    <row r="35" spans="1:5">
      <c r="A35" s="85" t="s">
        <v>755</v>
      </c>
      <c r="B35" s="86" t="s">
        <v>723</v>
      </c>
      <c r="C35" s="87" cm="1">
        <f t="array" ref="C35">SUMPRODUCT((ISNUMBER(MATCH(ESTIMATE!$N$6:$N$205,FILTERS!A35,0)))*(ESTIMATE!$O$6:$O$205)*(ESTIMATE!$A$6:$A$205))</f>
        <v>0</v>
      </c>
      <c r="D35" s="88">
        <v>3.09</v>
      </c>
      <c r="E35" s="89">
        <f t="shared" si="0"/>
        <v>0</v>
      </c>
    </row>
    <row r="36" spans="1:5">
      <c r="A36" s="85" t="s">
        <v>756</v>
      </c>
      <c r="B36" s="86" t="s">
        <v>723</v>
      </c>
      <c r="C36" s="87" cm="1">
        <f t="array" ref="C36">SUMPRODUCT((ISNUMBER(MATCH(ESTIMATE!$N$6:$N$205,FILTERS!A36,0)))*(ESTIMATE!$O$6:$O$205)*(ESTIMATE!$A$6:$A$205))</f>
        <v>0</v>
      </c>
      <c r="D36" s="88">
        <v>3.43</v>
      </c>
      <c r="E36" s="89">
        <f t="shared" si="0"/>
        <v>0</v>
      </c>
    </row>
    <row r="37" spans="1:5">
      <c r="A37" s="85" t="s">
        <v>757</v>
      </c>
      <c r="B37" s="86" t="s">
        <v>723</v>
      </c>
      <c r="C37" s="87" cm="1">
        <f t="array" ref="C37">SUMPRODUCT((ISNUMBER(MATCH(ESTIMATE!$N$6:$N$205,FILTERS!A37,0)))*(ESTIMATE!$O$6:$O$205)*(ESTIMATE!$A$6:$A$205))</f>
        <v>0</v>
      </c>
      <c r="D37" s="88">
        <v>3.43</v>
      </c>
      <c r="E37" s="89">
        <f t="shared" si="0"/>
        <v>0</v>
      </c>
    </row>
    <row r="38" spans="1:5">
      <c r="A38" s="85" t="s">
        <v>758</v>
      </c>
      <c r="B38" s="86" t="s">
        <v>723</v>
      </c>
      <c r="C38" s="87" cm="1">
        <f t="array" ref="C38">SUMPRODUCT((ISNUMBER(MATCH(ESTIMATE!$N$6:$N$205,FILTERS!A38,0)))*(ESTIMATE!$O$6:$O$205)*(ESTIMATE!$A$6:$A$205))</f>
        <v>0</v>
      </c>
      <c r="D38" s="88">
        <v>3.82</v>
      </c>
      <c r="E38" s="89">
        <f t="shared" si="0"/>
        <v>0</v>
      </c>
    </row>
    <row r="39" spans="1:5">
      <c r="A39" s="85" t="s">
        <v>759</v>
      </c>
      <c r="B39" s="86" t="s">
        <v>723</v>
      </c>
      <c r="C39" s="87" cm="1">
        <f t="array" ref="C39">SUMPRODUCT((ISNUMBER(MATCH(ESTIMATE!$N$6:$N$205,FILTERS!A39,0)))*(ESTIMATE!$O$6:$O$205)*(ESTIMATE!$A$6:$A$205))</f>
        <v>0</v>
      </c>
      <c r="D39" s="88">
        <v>4.22</v>
      </c>
      <c r="E39" s="89">
        <f t="shared" si="0"/>
        <v>0</v>
      </c>
    </row>
    <row r="40" spans="1:5">
      <c r="A40" s="85" t="s">
        <v>760</v>
      </c>
      <c r="B40" s="86" t="s">
        <v>723</v>
      </c>
      <c r="C40" s="87" cm="1">
        <f t="array" ref="C40">SUMPRODUCT((ISNUMBER(MATCH(ESTIMATE!$N$6:$N$205,FILTERS!A40,0)))*(ESTIMATE!$O$6:$O$205)*(ESTIMATE!$A$6:$A$205))</f>
        <v>0</v>
      </c>
      <c r="D40" s="88">
        <v>4.75</v>
      </c>
      <c r="E40" s="89">
        <f t="shared" si="0"/>
        <v>0</v>
      </c>
    </row>
    <row r="41" spans="1:5">
      <c r="A41" s="85" t="s">
        <v>761</v>
      </c>
      <c r="B41" s="86" t="s">
        <v>723</v>
      </c>
      <c r="C41" s="87" cm="1">
        <f t="array" ref="C41">SUMPRODUCT((ISNUMBER(MATCH(ESTIMATE!$N$6:$N$205,FILTERS!A41,0)))*(ESTIMATE!$O$6:$O$205)*(ESTIMATE!$A$6:$A$205))</f>
        <v>0</v>
      </c>
      <c r="D41" s="88">
        <v>5.28</v>
      </c>
      <c r="E41" s="89">
        <f t="shared" si="0"/>
        <v>0</v>
      </c>
    </row>
    <row r="42" spans="1:5">
      <c r="A42" s="85" t="s">
        <v>762</v>
      </c>
      <c r="B42" s="86" t="s">
        <v>723</v>
      </c>
      <c r="C42" s="87" cm="1">
        <f t="array" ref="C42">SUMPRODUCT((ISNUMBER(MATCH(ESTIMATE!$N$6:$N$205,FILTERS!A42,0)))*(ESTIMATE!$O$6:$O$205)*(ESTIMATE!$A$6:$A$205))</f>
        <v>0</v>
      </c>
      <c r="D42" s="88">
        <v>5.82</v>
      </c>
      <c r="E42" s="89">
        <f t="shared" si="0"/>
        <v>0</v>
      </c>
    </row>
    <row r="43" spans="1:5">
      <c r="A43" s="85" t="s">
        <v>763</v>
      </c>
      <c r="B43" s="86" t="s">
        <v>723</v>
      </c>
      <c r="C43" s="87" cm="1">
        <f t="array" ref="C43">SUMPRODUCT((ISNUMBER(MATCH(ESTIMATE!$N$6:$N$205,FILTERS!A43,0)))*(ESTIMATE!$O$6:$O$205)*(ESTIMATE!$A$6:$A$205))</f>
        <v>0</v>
      </c>
      <c r="D43" s="88">
        <v>6.54</v>
      </c>
      <c r="E43" s="89">
        <f t="shared" si="0"/>
        <v>0</v>
      </c>
    </row>
    <row r="44" spans="1:5">
      <c r="A44" s="85" t="s">
        <v>764</v>
      </c>
      <c r="B44" s="86" t="s">
        <v>723</v>
      </c>
      <c r="C44" s="87" cm="1">
        <f t="array" ref="C44">SUMPRODUCT((ISNUMBER(MATCH(ESTIMATE!$N$6:$N$205,FILTERS!A44,0)))*(ESTIMATE!$O$6:$O$205)*(ESTIMATE!$A$6:$A$205))</f>
        <v>0</v>
      </c>
      <c r="D44" s="88">
        <v>5.82</v>
      </c>
      <c r="E44" s="89">
        <f t="shared" si="0"/>
        <v>0</v>
      </c>
    </row>
    <row r="45" spans="1:5">
      <c r="A45" s="90" t="s">
        <v>765</v>
      </c>
      <c r="B45" s="86" t="s">
        <v>723</v>
      </c>
      <c r="C45" s="87" cm="1">
        <f t="array" ref="C45">SUMPRODUCT((ISNUMBER(MATCH(ESTIMATE!$N$6:$N$205,FILTERS!A45,0)))*(ESTIMATE!$O$6:$O$205)*(ESTIMATE!$A$6:$A$205))</f>
        <v>0</v>
      </c>
      <c r="D45" s="88">
        <v>6.54</v>
      </c>
      <c r="E45" s="89">
        <f t="shared" si="0"/>
        <v>0</v>
      </c>
    </row>
    <row r="46" spans="1:5">
      <c r="A46" s="85" t="s">
        <v>766</v>
      </c>
      <c r="B46" s="86" t="s">
        <v>723</v>
      </c>
      <c r="C46" s="87" cm="1">
        <f t="array" ref="C46">SUMPRODUCT((ISNUMBER(MATCH(ESTIMATE!$N$6:$N$205,FILTERS!A46,0)))*(ESTIMATE!$O$6:$O$205)*(ESTIMATE!$A$6:$A$205))</f>
        <v>0</v>
      </c>
      <c r="D46" s="88">
        <v>6.54</v>
      </c>
      <c r="E46" s="89">
        <f t="shared" si="0"/>
        <v>0</v>
      </c>
    </row>
    <row r="47" spans="1:5">
      <c r="A47" s="85" t="s">
        <v>767</v>
      </c>
      <c r="B47" s="86" t="s">
        <v>723</v>
      </c>
      <c r="C47" s="87" cm="1">
        <f t="array" ref="C47">SUMPRODUCT((ISNUMBER(MATCH(ESTIMATE!$N$6:$N$205,FILTERS!A47,0)))*(ESTIMATE!$O$6:$O$205)*(ESTIMATE!$A$6:$A$205))</f>
        <v>0</v>
      </c>
      <c r="D47" s="88">
        <v>6.94</v>
      </c>
      <c r="E47" s="89">
        <f t="shared" si="0"/>
        <v>0</v>
      </c>
    </row>
    <row r="48" spans="1:5" ht="13.5" thickBot="1">
      <c r="A48" s="90"/>
      <c r="B48" s="91"/>
      <c r="C48" s="87"/>
      <c r="D48" s="92"/>
      <c r="E48" s="93">
        <v>0</v>
      </c>
    </row>
    <row r="49" spans="1:5" ht="13.5" thickBot="1">
      <c r="A49" s="94"/>
      <c r="B49" s="94"/>
      <c r="C49" s="94"/>
      <c r="D49" s="94"/>
      <c r="E49" s="95">
        <f>SUM(E3:E47)</f>
        <v>0</v>
      </c>
    </row>
    <row r="50" spans="1:5"/>
    <row r="51" spans="1:5"/>
  </sheetData>
  <sheetProtection algorithmName="SHA-512" hashValue="xpGnAq/4VnRBdVVEy9BlSADxXTb7QXPQVLPl621W23nbaHC51r0TOGwXebbstzTHpRFPjWoYXhcC+KU2vVGTkA==" saltValue="FOkUhUcfFdljHzWZREdjMA==" spinCount="100000" sheet="1" objects="1" scenarios="1"/>
  <mergeCells count="1">
    <mergeCell ref="A1:B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A8C57-CAC8-4053-ACCA-3C861C997324}">
  <sheetPr codeName="Sheet24"/>
  <dimension ref="A1:E17"/>
  <sheetViews>
    <sheetView workbookViewId="0"/>
  </sheetViews>
  <sheetFormatPr defaultRowHeight="12.75"/>
  <sheetData>
    <row r="1" spans="1:5">
      <c r="A1" s="25" t="s">
        <v>769</v>
      </c>
      <c r="B1" s="25"/>
      <c r="C1" s="15" t="s">
        <v>770</v>
      </c>
    </row>
    <row r="3" spans="1:5" ht="13.5" thickBot="1">
      <c r="A3" s="11" t="s">
        <v>8</v>
      </c>
      <c r="B3" s="9" t="s">
        <v>771</v>
      </c>
      <c r="C3" s="9" t="s">
        <v>772</v>
      </c>
      <c r="D3" s="9" t="s">
        <v>773</v>
      </c>
      <c r="E3" s="9" t="s">
        <v>774</v>
      </c>
    </row>
    <row r="4" spans="1:5" ht="13.5" thickTop="1">
      <c r="A4" s="6" t="s">
        <v>775</v>
      </c>
      <c r="B4" s="7">
        <v>0.75</v>
      </c>
      <c r="C4" s="7">
        <v>0.5</v>
      </c>
      <c r="D4" s="7">
        <v>0.75</v>
      </c>
      <c r="E4" s="7">
        <v>0.5</v>
      </c>
    </row>
    <row r="5" spans="1:5">
      <c r="A5" s="2" t="s">
        <v>776</v>
      </c>
      <c r="B5" s="3">
        <v>1</v>
      </c>
      <c r="C5" s="3">
        <v>0.75</v>
      </c>
      <c r="D5" s="3">
        <v>1</v>
      </c>
      <c r="E5" s="3">
        <v>0.75</v>
      </c>
    </row>
    <row r="6" spans="1:5">
      <c r="A6" s="2" t="s">
        <v>777</v>
      </c>
      <c r="B6" s="3">
        <v>1.5</v>
      </c>
      <c r="C6" s="3">
        <v>1</v>
      </c>
      <c r="D6" s="3">
        <v>1.5</v>
      </c>
      <c r="E6" s="3">
        <v>1</v>
      </c>
    </row>
    <row r="7" spans="1:5">
      <c r="A7" s="2" t="s">
        <v>778</v>
      </c>
      <c r="B7" s="3">
        <v>2</v>
      </c>
      <c r="C7" s="3">
        <v>1.5</v>
      </c>
      <c r="D7" s="3">
        <v>2</v>
      </c>
      <c r="E7" s="3">
        <v>1.5</v>
      </c>
    </row>
    <row r="8" spans="1:5">
      <c r="A8" s="2" t="s">
        <v>779</v>
      </c>
      <c r="B8" s="3">
        <v>3</v>
      </c>
      <c r="C8" s="3">
        <v>2</v>
      </c>
      <c r="D8" s="3">
        <v>3</v>
      </c>
      <c r="E8" s="3">
        <v>2</v>
      </c>
    </row>
    <row r="9" spans="1:5">
      <c r="A9" s="2" t="s">
        <v>780</v>
      </c>
      <c r="B9" s="3">
        <v>4</v>
      </c>
      <c r="C9" s="3">
        <v>2</v>
      </c>
      <c r="D9" s="3">
        <v>4</v>
      </c>
      <c r="E9" s="3">
        <v>2</v>
      </c>
    </row>
    <row r="10" spans="1:5">
      <c r="A10" s="2"/>
      <c r="B10" s="3"/>
      <c r="C10" s="3"/>
      <c r="D10" s="3"/>
      <c r="E10" s="3"/>
    </row>
    <row r="17" spans="1:1">
      <c r="A17" s="15" t="s">
        <v>781</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8"/>
  <sheetViews>
    <sheetView workbookViewId="0">
      <selection sqref="A1:B1"/>
    </sheetView>
  </sheetViews>
  <sheetFormatPr defaultRowHeight="12.75"/>
  <cols>
    <col min="1" max="1" width="9.7109375" bestFit="1" customWidth="1"/>
    <col min="2" max="2" width="10.7109375" bestFit="1" customWidth="1"/>
    <col min="3" max="3" width="11.7109375" bestFit="1" customWidth="1"/>
    <col min="4" max="4" width="12.7109375" bestFit="1" customWidth="1"/>
    <col min="5" max="5" width="6.42578125" bestFit="1" customWidth="1"/>
  </cols>
  <sheetData>
    <row r="1" spans="1:5">
      <c r="A1" s="685" t="s">
        <v>7</v>
      </c>
      <c r="B1" s="685"/>
    </row>
    <row r="3" spans="1:5" ht="13.5" thickBot="1">
      <c r="A3" s="11" t="s">
        <v>8</v>
      </c>
      <c r="B3" s="11" t="s">
        <v>9</v>
      </c>
      <c r="C3" s="11" t="s">
        <v>10</v>
      </c>
      <c r="D3" s="11" t="s">
        <v>11</v>
      </c>
      <c r="E3" s="11" t="s">
        <v>12</v>
      </c>
    </row>
    <row r="4" spans="1:5" ht="13.5" thickTop="1">
      <c r="A4" s="6" t="s">
        <v>13</v>
      </c>
      <c r="B4" s="7">
        <v>4.5</v>
      </c>
      <c r="C4" s="7">
        <v>1.5</v>
      </c>
      <c r="D4" s="7">
        <v>1</v>
      </c>
      <c r="E4" s="7">
        <v>60</v>
      </c>
    </row>
    <row r="5" spans="1:5">
      <c r="A5" s="2" t="s">
        <v>14</v>
      </c>
      <c r="B5" s="3">
        <v>5.5</v>
      </c>
      <c r="C5" s="3">
        <v>1.5</v>
      </c>
      <c r="D5" s="3">
        <v>1.5</v>
      </c>
      <c r="E5" s="3">
        <v>90</v>
      </c>
    </row>
    <row r="6" spans="1:5">
      <c r="A6" s="2" t="s">
        <v>15</v>
      </c>
      <c r="B6" s="3">
        <v>6</v>
      </c>
      <c r="C6" s="3">
        <v>2.5</v>
      </c>
      <c r="D6" s="3">
        <v>2</v>
      </c>
      <c r="E6" s="3">
        <v>125</v>
      </c>
    </row>
    <row r="7" spans="1:5">
      <c r="A7" s="2" t="s">
        <v>16</v>
      </c>
      <c r="B7" s="3">
        <v>6</v>
      </c>
      <c r="C7" s="3">
        <v>3.5</v>
      </c>
      <c r="D7" s="3">
        <v>2.5</v>
      </c>
      <c r="E7" s="3">
        <v>160</v>
      </c>
    </row>
    <row r="8" spans="1:5">
      <c r="A8" s="2" t="s">
        <v>17</v>
      </c>
      <c r="B8" s="3">
        <v>8</v>
      </c>
      <c r="C8" s="3">
        <v>4</v>
      </c>
      <c r="D8" s="3">
        <v>3.5</v>
      </c>
      <c r="E8" s="3">
        <v>245</v>
      </c>
    </row>
  </sheetData>
  <mergeCells count="1">
    <mergeCell ref="A1:B1"/>
  </mergeCells>
  <phoneticPr fontId="0" type="noConversion"/>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E26"/>
  <sheetViews>
    <sheetView workbookViewId="0"/>
  </sheetViews>
  <sheetFormatPr defaultRowHeight="12.75"/>
  <cols>
    <col min="2" max="2" width="10.7109375" bestFit="1" customWidth="1"/>
    <col min="3" max="3" width="11.7109375" bestFit="1" customWidth="1"/>
    <col min="4" max="4" width="12.7109375" bestFit="1" customWidth="1"/>
    <col min="5" max="5" width="6.42578125" bestFit="1" customWidth="1"/>
  </cols>
  <sheetData>
    <row r="1" spans="1:5">
      <c r="A1" s="8" t="s">
        <v>104</v>
      </c>
    </row>
    <row r="3" spans="1:5" ht="13.5" thickBot="1">
      <c r="A3" s="11" t="s">
        <v>8</v>
      </c>
      <c r="B3" s="11" t="s">
        <v>9</v>
      </c>
      <c r="C3" s="11" t="s">
        <v>10</v>
      </c>
      <c r="D3" s="11" t="s">
        <v>11</v>
      </c>
      <c r="E3" s="11" t="s">
        <v>12</v>
      </c>
    </row>
    <row r="4" spans="1:5" ht="13.5" thickTop="1">
      <c r="A4" s="7">
        <v>20</v>
      </c>
      <c r="B4" s="7">
        <v>6</v>
      </c>
      <c r="C4" s="7">
        <v>5</v>
      </c>
      <c r="D4" s="7">
        <v>1.8</v>
      </c>
      <c r="E4" s="7">
        <v>225</v>
      </c>
    </row>
    <row r="5" spans="1:5">
      <c r="A5" s="3">
        <v>25</v>
      </c>
      <c r="B5" s="3">
        <v>6.5</v>
      </c>
      <c r="C5" s="3">
        <v>5</v>
      </c>
      <c r="D5" s="3">
        <v>2</v>
      </c>
      <c r="E5" s="3">
        <v>300</v>
      </c>
    </row>
    <row r="6" spans="1:5">
      <c r="A6" s="3">
        <v>30</v>
      </c>
      <c r="B6" s="3">
        <v>6.5</v>
      </c>
      <c r="C6" s="3">
        <v>5.5</v>
      </c>
      <c r="D6" s="3">
        <v>2</v>
      </c>
      <c r="E6" s="3">
        <v>420</v>
      </c>
    </row>
    <row r="7" spans="1:5">
      <c r="A7" s="3">
        <v>35</v>
      </c>
      <c r="B7" s="3">
        <v>7</v>
      </c>
      <c r="C7" s="3">
        <v>7</v>
      </c>
      <c r="D7" s="3">
        <v>2.5</v>
      </c>
      <c r="E7" s="3">
        <v>575</v>
      </c>
    </row>
    <row r="8" spans="1:5">
      <c r="A8" s="3">
        <v>40</v>
      </c>
      <c r="B8" s="3">
        <v>7.3</v>
      </c>
      <c r="C8" s="3">
        <v>8</v>
      </c>
      <c r="D8" s="3">
        <v>3</v>
      </c>
      <c r="E8" s="3">
        <v>650</v>
      </c>
    </row>
    <row r="9" spans="1:5">
      <c r="A9" s="3">
        <v>45</v>
      </c>
      <c r="B9" s="3">
        <v>7.5</v>
      </c>
      <c r="C9" s="3">
        <v>8</v>
      </c>
      <c r="D9" s="3">
        <v>3.2</v>
      </c>
      <c r="E9" s="3">
        <v>700</v>
      </c>
    </row>
    <row r="10" spans="1:5">
      <c r="A10" s="3">
        <v>50</v>
      </c>
      <c r="B10" s="3">
        <v>8</v>
      </c>
      <c r="C10" s="3">
        <v>9</v>
      </c>
      <c r="D10" s="3">
        <v>3.5</v>
      </c>
      <c r="E10" s="3">
        <v>720</v>
      </c>
    </row>
    <row r="11" spans="1:5">
      <c r="A11" s="3">
        <v>60</v>
      </c>
      <c r="B11" s="3">
        <v>8.3000000000000007</v>
      </c>
      <c r="C11" s="3">
        <v>9.5</v>
      </c>
      <c r="D11" s="3">
        <v>3.8</v>
      </c>
      <c r="E11" s="3">
        <v>820</v>
      </c>
    </row>
    <row r="12" spans="1:5">
      <c r="A12" s="3">
        <v>75</v>
      </c>
      <c r="B12" s="3">
        <v>10</v>
      </c>
      <c r="C12" s="3">
        <v>10.5</v>
      </c>
      <c r="D12" s="3">
        <v>4</v>
      </c>
      <c r="E12" s="3">
        <v>950</v>
      </c>
    </row>
    <row r="13" spans="1:5">
      <c r="A13" s="3">
        <v>100</v>
      </c>
      <c r="B13" s="3">
        <v>12</v>
      </c>
      <c r="C13" s="3">
        <v>10.5</v>
      </c>
      <c r="D13" s="3">
        <v>6</v>
      </c>
      <c r="E13" s="3">
        <v>1040</v>
      </c>
    </row>
    <row r="14" spans="1:5">
      <c r="A14" s="3">
        <v>150</v>
      </c>
      <c r="B14" s="3">
        <v>16</v>
      </c>
      <c r="C14" s="3">
        <v>12.5</v>
      </c>
      <c r="D14" s="3">
        <v>7</v>
      </c>
      <c r="E14" s="3">
        <v>1085</v>
      </c>
    </row>
    <row r="15" spans="1:5">
      <c r="A15" s="3">
        <v>200</v>
      </c>
      <c r="B15" s="3">
        <v>20</v>
      </c>
      <c r="C15" s="3">
        <v>16</v>
      </c>
      <c r="D15" s="3">
        <v>8</v>
      </c>
      <c r="E15" s="3">
        <v>1200</v>
      </c>
    </row>
    <row r="16" spans="1:5">
      <c r="A16" s="3">
        <v>300</v>
      </c>
      <c r="B16" s="3">
        <v>24</v>
      </c>
      <c r="C16" s="3">
        <v>12</v>
      </c>
      <c r="D16" s="3">
        <v>8</v>
      </c>
      <c r="E16" s="3">
        <v>1350</v>
      </c>
    </row>
    <row r="17" spans="1:5">
      <c r="A17" s="3">
        <v>350</v>
      </c>
      <c r="B17" s="3">
        <v>26</v>
      </c>
      <c r="C17" s="3">
        <v>19</v>
      </c>
      <c r="D17" s="3">
        <v>8</v>
      </c>
      <c r="E17" s="3">
        <v>1400</v>
      </c>
    </row>
    <row r="18" spans="1:5">
      <c r="A18" s="3">
        <v>400</v>
      </c>
      <c r="B18" s="3">
        <v>28</v>
      </c>
      <c r="C18" s="3">
        <v>20</v>
      </c>
      <c r="D18" s="3">
        <v>8</v>
      </c>
      <c r="E18" s="3">
        <v>1550</v>
      </c>
    </row>
    <row r="19" spans="1:5">
      <c r="A19" s="3">
        <v>500</v>
      </c>
      <c r="B19" s="3">
        <v>30</v>
      </c>
      <c r="C19" s="3">
        <v>22</v>
      </c>
      <c r="D19" s="3">
        <v>8</v>
      </c>
      <c r="E19" s="3">
        <v>1600</v>
      </c>
    </row>
    <row r="20" spans="1:5">
      <c r="A20" s="3">
        <v>600</v>
      </c>
      <c r="B20" s="3">
        <v>32</v>
      </c>
      <c r="C20" s="3">
        <v>26</v>
      </c>
      <c r="D20" s="3">
        <v>9</v>
      </c>
      <c r="E20" s="3">
        <v>1975</v>
      </c>
    </row>
    <row r="21" spans="1:5">
      <c r="A21" s="3">
        <v>700</v>
      </c>
      <c r="B21" s="3">
        <v>34</v>
      </c>
      <c r="C21" s="3">
        <v>27</v>
      </c>
      <c r="D21" s="3">
        <v>9</v>
      </c>
      <c r="E21" s="3">
        <v>2020</v>
      </c>
    </row>
    <row r="22" spans="1:5">
      <c r="A22" s="3">
        <v>800</v>
      </c>
      <c r="B22" s="3">
        <v>37</v>
      </c>
      <c r="C22" s="3">
        <v>29</v>
      </c>
      <c r="D22" s="3">
        <v>9</v>
      </c>
      <c r="E22" s="3">
        <v>2175</v>
      </c>
    </row>
    <row r="23" spans="1:5">
      <c r="A23" s="3">
        <v>900</v>
      </c>
      <c r="B23" s="3">
        <v>39</v>
      </c>
      <c r="C23" s="3">
        <v>30</v>
      </c>
      <c r="D23" s="3">
        <v>9</v>
      </c>
      <c r="E23" s="3">
        <v>2260</v>
      </c>
    </row>
    <row r="24" spans="1:5">
      <c r="A24" s="3">
        <v>1000</v>
      </c>
      <c r="B24" s="3">
        <v>44</v>
      </c>
      <c r="C24" s="3">
        <v>33</v>
      </c>
      <c r="D24" s="3">
        <v>11</v>
      </c>
      <c r="E24" s="3">
        <v>2495</v>
      </c>
    </row>
    <row r="25" spans="1:5">
      <c r="A25" s="3">
        <v>1250</v>
      </c>
      <c r="B25" s="3">
        <v>52</v>
      </c>
      <c r="C25" s="3">
        <v>38</v>
      </c>
      <c r="D25" s="3">
        <v>15</v>
      </c>
      <c r="E25" s="3">
        <v>2900</v>
      </c>
    </row>
    <row r="26" spans="1:5">
      <c r="A26" s="3">
        <v>1500</v>
      </c>
      <c r="B26" s="3">
        <v>65</v>
      </c>
      <c r="C26" s="3">
        <v>42</v>
      </c>
      <c r="D26" s="3">
        <v>17</v>
      </c>
      <c r="E26" s="3">
        <v>3400</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10"/>
  <sheetViews>
    <sheetView workbookViewId="0">
      <selection activeCell="B3" sqref="B3:D10"/>
    </sheetView>
  </sheetViews>
  <sheetFormatPr defaultRowHeight="12.75"/>
  <cols>
    <col min="1" max="1" width="9.7109375" bestFit="1" customWidth="1"/>
    <col min="2" max="2" width="10.7109375" bestFit="1" customWidth="1"/>
    <col min="3" max="3" width="11.7109375" bestFit="1" customWidth="1"/>
    <col min="4" max="4" width="12.7109375" bestFit="1" customWidth="1"/>
    <col min="5" max="5" width="6.42578125" bestFit="1" customWidth="1"/>
  </cols>
  <sheetData>
    <row r="1" spans="1:5">
      <c r="A1" s="686" t="s">
        <v>25</v>
      </c>
      <c r="B1" s="686"/>
    </row>
    <row r="3" spans="1:5" ht="13.5" thickBot="1">
      <c r="A3" s="11" t="s">
        <v>8</v>
      </c>
      <c r="B3" s="11" t="s">
        <v>9</v>
      </c>
      <c r="C3" s="11" t="s">
        <v>10</v>
      </c>
      <c r="D3" s="11" t="s">
        <v>11</v>
      </c>
      <c r="E3" s="11" t="s">
        <v>12</v>
      </c>
    </row>
    <row r="4" spans="1:5" ht="13.5" thickTop="1">
      <c r="A4" s="6" t="s">
        <v>26</v>
      </c>
      <c r="B4" s="7">
        <v>2</v>
      </c>
      <c r="C4" s="7">
        <v>1</v>
      </c>
      <c r="D4" s="7">
        <v>0.5</v>
      </c>
      <c r="E4" s="7">
        <v>70</v>
      </c>
    </row>
    <row r="5" spans="1:5">
      <c r="A5" s="2" t="s">
        <v>27</v>
      </c>
      <c r="B5" s="3">
        <v>2.5</v>
      </c>
      <c r="C5" s="3">
        <v>1.5</v>
      </c>
      <c r="D5" s="3">
        <v>0.5</v>
      </c>
      <c r="E5" s="3">
        <v>100</v>
      </c>
    </row>
    <row r="6" spans="1:5">
      <c r="A6" s="2" t="s">
        <v>28</v>
      </c>
      <c r="B6" s="3">
        <v>2.5</v>
      </c>
      <c r="C6" s="3">
        <v>1.5</v>
      </c>
      <c r="D6" s="3">
        <v>0.5</v>
      </c>
      <c r="E6" s="3">
        <v>120</v>
      </c>
    </row>
    <row r="7" spans="1:5">
      <c r="A7" s="2" t="s">
        <v>14</v>
      </c>
      <c r="B7" s="3">
        <v>3</v>
      </c>
      <c r="C7" s="3">
        <v>2</v>
      </c>
      <c r="D7" s="3">
        <v>1</v>
      </c>
      <c r="E7" s="3">
        <v>125</v>
      </c>
    </row>
    <row r="8" spans="1:5">
      <c r="A8" s="2" t="s">
        <v>15</v>
      </c>
      <c r="B8" s="3">
        <v>4.5</v>
      </c>
      <c r="C8" s="3">
        <v>2.5</v>
      </c>
      <c r="D8" s="3">
        <v>1.7</v>
      </c>
      <c r="E8" s="3">
        <v>160</v>
      </c>
    </row>
    <row r="9" spans="1:5">
      <c r="A9" s="2" t="s">
        <v>16</v>
      </c>
      <c r="B9" s="3">
        <v>5.5</v>
      </c>
      <c r="C9" s="3">
        <v>3</v>
      </c>
      <c r="D9" s="3">
        <v>2</v>
      </c>
      <c r="E9" s="3">
        <v>250</v>
      </c>
    </row>
    <row r="10" spans="1:5">
      <c r="A10" s="2" t="s">
        <v>29</v>
      </c>
      <c r="B10" s="3">
        <v>8</v>
      </c>
      <c r="C10" s="3">
        <v>5.5</v>
      </c>
      <c r="D10" s="3">
        <v>4</v>
      </c>
      <c r="E10" s="3">
        <v>355</v>
      </c>
    </row>
  </sheetData>
  <mergeCells count="1">
    <mergeCell ref="A1:B1"/>
  </mergeCells>
  <phoneticPr fontId="0"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H53"/>
  <sheetViews>
    <sheetView topLeftCell="A15" workbookViewId="0">
      <selection activeCell="F50" sqref="F50"/>
    </sheetView>
  </sheetViews>
  <sheetFormatPr defaultRowHeight="12.75"/>
  <cols>
    <col min="1" max="1" width="10.42578125" customWidth="1"/>
    <col min="2" max="2" width="10.7109375" bestFit="1" customWidth="1"/>
    <col min="3" max="3" width="11.7109375" bestFit="1" customWidth="1"/>
    <col min="4" max="4" width="12.7109375" bestFit="1" customWidth="1"/>
    <col min="5" max="5" width="8.140625" customWidth="1"/>
  </cols>
  <sheetData>
    <row r="1" spans="1:8">
      <c r="A1" s="8" t="s">
        <v>30</v>
      </c>
    </row>
    <row r="3" spans="1:8">
      <c r="A3" s="8" t="s">
        <v>31</v>
      </c>
    </row>
    <row r="5" spans="1:8" ht="13.5" thickBot="1">
      <c r="A5" s="12" t="s">
        <v>32</v>
      </c>
      <c r="B5" s="12" t="s">
        <v>33</v>
      </c>
      <c r="C5" s="1"/>
      <c r="D5" s="12" t="s">
        <v>32</v>
      </c>
      <c r="E5" s="12" t="s">
        <v>33</v>
      </c>
      <c r="F5" s="1"/>
      <c r="G5" s="12" t="s">
        <v>32</v>
      </c>
      <c r="H5" s="12" t="s">
        <v>33</v>
      </c>
    </row>
    <row r="6" spans="1:8" ht="13.5" thickTop="1">
      <c r="A6" s="6">
        <v>334790</v>
      </c>
      <c r="B6" s="6">
        <v>10</v>
      </c>
      <c r="D6" s="6">
        <v>3347900</v>
      </c>
      <c r="E6" s="6">
        <v>100</v>
      </c>
      <c r="G6" s="6">
        <v>13391600</v>
      </c>
      <c r="H6" s="6">
        <v>400</v>
      </c>
    </row>
    <row r="7" spans="1:8">
      <c r="A7" s="2">
        <v>669580</v>
      </c>
      <c r="B7" s="2">
        <v>20</v>
      </c>
      <c r="D7" s="2">
        <v>4017480</v>
      </c>
      <c r="E7" s="2">
        <v>120</v>
      </c>
      <c r="G7" s="2">
        <v>15065550</v>
      </c>
      <c r="H7" s="2">
        <v>450</v>
      </c>
    </row>
    <row r="8" spans="1:8">
      <c r="A8" s="2">
        <v>1004370</v>
      </c>
      <c r="B8" s="2">
        <v>30</v>
      </c>
      <c r="D8" s="2">
        <v>4687060</v>
      </c>
      <c r="E8" s="2">
        <v>140</v>
      </c>
      <c r="G8" s="2">
        <v>16739500</v>
      </c>
      <c r="H8" s="2">
        <v>500</v>
      </c>
    </row>
    <row r="9" spans="1:8">
      <c r="A9" s="2">
        <v>1339160</v>
      </c>
      <c r="B9" s="2">
        <v>40</v>
      </c>
      <c r="D9" s="2">
        <v>5691430</v>
      </c>
      <c r="E9" s="2">
        <v>170</v>
      </c>
      <c r="G9" s="2">
        <v>18413450</v>
      </c>
      <c r="H9" s="2">
        <v>550</v>
      </c>
    </row>
    <row r="10" spans="1:8">
      <c r="A10" s="2">
        <v>1673950</v>
      </c>
      <c r="B10" s="2">
        <v>50</v>
      </c>
      <c r="D10" s="2">
        <v>6695800</v>
      </c>
      <c r="E10" s="2">
        <v>200</v>
      </c>
      <c r="G10" s="2">
        <v>20087400</v>
      </c>
      <c r="H10" s="2">
        <v>600</v>
      </c>
    </row>
    <row r="11" spans="1:8">
      <c r="A11" s="2">
        <v>2008740</v>
      </c>
      <c r="B11" s="2">
        <v>60</v>
      </c>
      <c r="D11" s="2">
        <v>7532775</v>
      </c>
      <c r="E11" s="2">
        <v>225</v>
      </c>
      <c r="G11" s="2">
        <v>21761350</v>
      </c>
      <c r="H11" s="2">
        <v>650</v>
      </c>
    </row>
    <row r="12" spans="1:8">
      <c r="A12" s="2">
        <v>2343530</v>
      </c>
      <c r="B12" s="2">
        <v>70</v>
      </c>
      <c r="D12" s="2">
        <v>8369750</v>
      </c>
      <c r="E12" s="2">
        <v>250</v>
      </c>
      <c r="G12" s="2">
        <v>23435300</v>
      </c>
      <c r="H12" s="2">
        <v>700</v>
      </c>
    </row>
    <row r="13" spans="1:8">
      <c r="A13" s="2">
        <v>2678320</v>
      </c>
      <c r="B13" s="2">
        <v>80</v>
      </c>
      <c r="D13" s="2">
        <v>10043700</v>
      </c>
      <c r="E13" s="2">
        <v>300</v>
      </c>
      <c r="G13" s="2">
        <v>25109250</v>
      </c>
      <c r="H13" s="2">
        <v>750</v>
      </c>
    </row>
    <row r="14" spans="1:8">
      <c r="A14" s="2">
        <v>3013110</v>
      </c>
      <c r="B14" s="2">
        <v>90</v>
      </c>
      <c r="D14" s="2">
        <v>11717650</v>
      </c>
      <c r="E14" s="2">
        <v>350</v>
      </c>
      <c r="G14" s="2">
        <v>26783200</v>
      </c>
      <c r="H14" s="2">
        <v>800</v>
      </c>
    </row>
    <row r="16" spans="1:8">
      <c r="A16" s="8" t="s">
        <v>34</v>
      </c>
    </row>
    <row r="18" spans="1:5" ht="13.5" thickBot="1">
      <c r="A18" s="11" t="s">
        <v>19</v>
      </c>
      <c r="B18" s="11" t="s">
        <v>9</v>
      </c>
      <c r="C18" s="11" t="s">
        <v>10</v>
      </c>
      <c r="D18" s="11" t="s">
        <v>11</v>
      </c>
      <c r="E18" s="11" t="s">
        <v>12</v>
      </c>
    </row>
    <row r="19" spans="1:5" ht="13.5" thickTop="1">
      <c r="A19" s="6" t="s">
        <v>26</v>
      </c>
      <c r="B19" s="6">
        <v>6</v>
      </c>
      <c r="C19" s="6">
        <v>2.5</v>
      </c>
      <c r="D19" s="6">
        <v>3</v>
      </c>
      <c r="E19" s="6">
        <v>140</v>
      </c>
    </row>
    <row r="20" spans="1:5">
      <c r="A20" s="2" t="s">
        <v>27</v>
      </c>
      <c r="B20" s="2">
        <v>6.5</v>
      </c>
      <c r="C20" s="2">
        <v>3.5</v>
      </c>
      <c r="D20" s="2">
        <v>4</v>
      </c>
      <c r="E20" s="2">
        <v>175</v>
      </c>
    </row>
    <row r="21" spans="1:5">
      <c r="A21" s="2" t="s">
        <v>35</v>
      </c>
      <c r="B21" s="2">
        <v>7</v>
      </c>
      <c r="C21" s="2">
        <v>3.5</v>
      </c>
      <c r="D21" s="2">
        <v>4</v>
      </c>
      <c r="E21" s="2">
        <v>250</v>
      </c>
    </row>
    <row r="22" spans="1:5">
      <c r="A22" s="2" t="s">
        <v>36</v>
      </c>
      <c r="B22" s="2">
        <v>10</v>
      </c>
      <c r="C22" s="2">
        <v>5</v>
      </c>
      <c r="D22" s="2">
        <v>3</v>
      </c>
      <c r="E22" s="2">
        <v>365</v>
      </c>
    </row>
    <row r="23" spans="1:5">
      <c r="A23" s="2" t="s">
        <v>37</v>
      </c>
      <c r="B23" s="2">
        <v>11</v>
      </c>
      <c r="C23" s="2">
        <v>5</v>
      </c>
      <c r="D23" s="2">
        <v>3</v>
      </c>
      <c r="E23" s="2">
        <v>415</v>
      </c>
    </row>
    <row r="24" spans="1:5">
      <c r="A24" s="2" t="s">
        <v>38</v>
      </c>
      <c r="B24" s="2">
        <v>11.5</v>
      </c>
      <c r="C24" s="2">
        <v>5.5</v>
      </c>
      <c r="D24" s="2">
        <v>3.5</v>
      </c>
      <c r="E24" s="2">
        <v>470</v>
      </c>
    </row>
    <row r="25" spans="1:5">
      <c r="A25" s="2" t="s">
        <v>39</v>
      </c>
      <c r="B25" s="2">
        <v>12</v>
      </c>
      <c r="C25" s="2">
        <v>5.5</v>
      </c>
      <c r="D25" s="2">
        <v>3.5</v>
      </c>
      <c r="E25" s="2">
        <v>520</v>
      </c>
    </row>
    <row r="26" spans="1:5">
      <c r="A26" s="2" t="s">
        <v>40</v>
      </c>
      <c r="B26" s="2">
        <v>12.5</v>
      </c>
      <c r="C26" s="2">
        <v>6</v>
      </c>
      <c r="D26" s="2">
        <v>3.5</v>
      </c>
      <c r="E26" s="2">
        <v>590</v>
      </c>
    </row>
    <row r="27" spans="1:5">
      <c r="A27" s="2" t="s">
        <v>41</v>
      </c>
      <c r="B27" s="2">
        <v>13</v>
      </c>
      <c r="C27" s="2">
        <v>6</v>
      </c>
      <c r="D27" s="2">
        <v>3.5</v>
      </c>
      <c r="E27" s="2">
        <v>630</v>
      </c>
    </row>
    <row r="28" spans="1:5">
      <c r="A28" s="2" t="s">
        <v>42</v>
      </c>
      <c r="B28" s="2">
        <v>15.5</v>
      </c>
      <c r="C28" s="2">
        <v>7</v>
      </c>
      <c r="D28" s="2">
        <v>4</v>
      </c>
      <c r="E28" s="2">
        <v>765</v>
      </c>
    </row>
    <row r="29" spans="1:5">
      <c r="A29" s="2" t="s">
        <v>43</v>
      </c>
      <c r="B29" s="2">
        <v>17</v>
      </c>
      <c r="C29" s="2">
        <v>8</v>
      </c>
      <c r="D29" s="2">
        <v>5</v>
      </c>
      <c r="E29" s="2">
        <v>840</v>
      </c>
    </row>
    <row r="30" spans="1:5">
      <c r="A30" s="2" t="s">
        <v>44</v>
      </c>
      <c r="B30" s="2">
        <v>18.5</v>
      </c>
      <c r="C30" s="2">
        <v>9</v>
      </c>
      <c r="D30" s="2">
        <v>6</v>
      </c>
      <c r="E30" s="2">
        <v>910</v>
      </c>
    </row>
    <row r="31" spans="1:5">
      <c r="A31" s="2" t="s">
        <v>16</v>
      </c>
      <c r="B31" s="2">
        <v>20</v>
      </c>
      <c r="C31" s="2">
        <v>9.5</v>
      </c>
      <c r="D31" s="2">
        <v>6</v>
      </c>
      <c r="E31" s="2">
        <v>980</v>
      </c>
    </row>
    <row r="32" spans="1:5">
      <c r="A32" s="2" t="s">
        <v>45</v>
      </c>
      <c r="B32" s="2">
        <v>24</v>
      </c>
      <c r="C32" s="2">
        <v>10</v>
      </c>
      <c r="D32" s="2">
        <v>6</v>
      </c>
      <c r="E32" s="2">
        <v>1045</v>
      </c>
    </row>
    <row r="33" spans="1:5">
      <c r="A33" s="2" t="s">
        <v>46</v>
      </c>
      <c r="B33" s="2">
        <v>26</v>
      </c>
      <c r="C33" s="2">
        <v>11</v>
      </c>
      <c r="D33" s="2">
        <v>6</v>
      </c>
      <c r="E33" s="2">
        <v>1190</v>
      </c>
    </row>
    <row r="36" spans="1:5">
      <c r="A36" s="8" t="s">
        <v>47</v>
      </c>
    </row>
    <row r="38" spans="1:5" ht="13.5" thickBot="1">
      <c r="A38" s="11" t="s">
        <v>19</v>
      </c>
      <c r="B38" s="11" t="s">
        <v>9</v>
      </c>
      <c r="C38" s="11" t="s">
        <v>10</v>
      </c>
      <c r="D38" s="11" t="s">
        <v>11</v>
      </c>
      <c r="E38" s="11" t="s">
        <v>12</v>
      </c>
    </row>
    <row r="39" spans="1:5" ht="13.5" thickTop="1">
      <c r="A39" s="6" t="s">
        <v>26</v>
      </c>
      <c r="B39" s="6">
        <v>7.8</v>
      </c>
      <c r="C39" s="6">
        <v>3.25</v>
      </c>
      <c r="D39" s="6">
        <v>3.75</v>
      </c>
      <c r="E39" s="6">
        <v>189</v>
      </c>
    </row>
    <row r="40" spans="1:5">
      <c r="A40" s="2" t="s">
        <v>27</v>
      </c>
      <c r="B40" s="2">
        <v>8.4499999999999993</v>
      </c>
      <c r="C40" s="2">
        <v>4.55</v>
      </c>
      <c r="D40" s="2">
        <v>5</v>
      </c>
      <c r="E40" s="2">
        <v>236.25</v>
      </c>
    </row>
    <row r="41" spans="1:5">
      <c r="A41" s="2" t="s">
        <v>35</v>
      </c>
      <c r="B41" s="2">
        <v>9.1</v>
      </c>
      <c r="C41" s="2">
        <v>4.55</v>
      </c>
      <c r="D41" s="2">
        <v>5</v>
      </c>
      <c r="E41" s="2">
        <v>337.5</v>
      </c>
    </row>
    <row r="42" spans="1:5">
      <c r="A42" s="2" t="s">
        <v>36</v>
      </c>
      <c r="B42" s="2">
        <v>13</v>
      </c>
      <c r="C42" s="2">
        <v>6.5</v>
      </c>
      <c r="D42" s="2">
        <v>3.75</v>
      </c>
      <c r="E42" s="2">
        <v>492.75</v>
      </c>
    </row>
    <row r="43" spans="1:5">
      <c r="A43" s="2" t="s">
        <v>37</v>
      </c>
      <c r="B43" s="2">
        <v>14.3</v>
      </c>
      <c r="C43" s="2">
        <v>6.5</v>
      </c>
      <c r="D43" s="2">
        <v>3.75</v>
      </c>
      <c r="E43" s="2">
        <v>560.25</v>
      </c>
    </row>
    <row r="44" spans="1:5">
      <c r="A44" s="2" t="s">
        <v>38</v>
      </c>
      <c r="B44" s="2">
        <v>14.95</v>
      </c>
      <c r="C44" s="2">
        <v>7.15</v>
      </c>
      <c r="D44" s="2">
        <v>4.375</v>
      </c>
      <c r="E44" s="2">
        <v>634.5</v>
      </c>
    </row>
    <row r="45" spans="1:5">
      <c r="A45" s="2" t="s">
        <v>39</v>
      </c>
      <c r="B45" s="2">
        <v>15.6</v>
      </c>
      <c r="C45" s="2">
        <v>7.15</v>
      </c>
      <c r="D45" s="2">
        <v>4.375</v>
      </c>
      <c r="E45" s="2">
        <v>702</v>
      </c>
    </row>
    <row r="46" spans="1:5">
      <c r="A46" s="2" t="s">
        <v>40</v>
      </c>
      <c r="B46" s="2">
        <v>16.25</v>
      </c>
      <c r="C46" s="2">
        <v>7.8</v>
      </c>
      <c r="D46" s="2">
        <v>4.375</v>
      </c>
      <c r="E46" s="2">
        <v>796.5</v>
      </c>
    </row>
    <row r="47" spans="1:5">
      <c r="A47" s="2" t="s">
        <v>41</v>
      </c>
      <c r="B47" s="2">
        <v>16.899999999999999</v>
      </c>
      <c r="C47" s="2">
        <v>7.8</v>
      </c>
      <c r="D47" s="2">
        <v>4.375</v>
      </c>
      <c r="E47" s="2">
        <v>850.5</v>
      </c>
    </row>
    <row r="48" spans="1:5">
      <c r="A48" s="2" t="s">
        <v>42</v>
      </c>
      <c r="B48" s="2">
        <v>20.149999999999999</v>
      </c>
      <c r="C48" s="2">
        <v>9.1</v>
      </c>
      <c r="D48" s="2">
        <v>5</v>
      </c>
      <c r="E48" s="2">
        <v>1032.75</v>
      </c>
    </row>
    <row r="49" spans="1:5">
      <c r="A49" s="2" t="s">
        <v>43</v>
      </c>
      <c r="B49" s="2">
        <v>22.1</v>
      </c>
      <c r="C49" s="2">
        <v>10.4</v>
      </c>
      <c r="D49" s="2">
        <v>6.25</v>
      </c>
      <c r="E49" s="2">
        <v>1134</v>
      </c>
    </row>
    <row r="50" spans="1:5">
      <c r="A50" s="2" t="s">
        <v>44</v>
      </c>
      <c r="B50" s="2">
        <v>24.05</v>
      </c>
      <c r="C50" s="2">
        <v>11.7</v>
      </c>
      <c r="D50" s="2">
        <v>7.5</v>
      </c>
      <c r="E50" s="2">
        <v>1228.5</v>
      </c>
    </row>
    <row r="51" spans="1:5">
      <c r="A51" s="2" t="s">
        <v>16</v>
      </c>
      <c r="B51" s="2">
        <v>26</v>
      </c>
      <c r="C51" s="2">
        <v>12.35</v>
      </c>
      <c r="D51" s="2">
        <v>7.5</v>
      </c>
      <c r="E51" s="2">
        <v>1323</v>
      </c>
    </row>
    <row r="52" spans="1:5">
      <c r="A52" s="2" t="s">
        <v>45</v>
      </c>
      <c r="B52" s="2">
        <v>31.2</v>
      </c>
      <c r="C52" s="2">
        <v>13</v>
      </c>
      <c r="D52" s="2">
        <v>7.5</v>
      </c>
      <c r="E52" s="2">
        <v>1410.75</v>
      </c>
    </row>
    <row r="53" spans="1:5">
      <c r="A53" s="2" t="s">
        <v>46</v>
      </c>
      <c r="B53" s="2">
        <v>33.799999999999997</v>
      </c>
      <c r="C53" s="2">
        <v>14.3</v>
      </c>
      <c r="D53" s="2">
        <v>7.5</v>
      </c>
      <c r="E53" s="2">
        <v>1606.5</v>
      </c>
    </row>
  </sheetData>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22"/>
  <sheetViews>
    <sheetView topLeftCell="A3" workbookViewId="0">
      <selection activeCell="H9" sqref="H9"/>
    </sheetView>
  </sheetViews>
  <sheetFormatPr defaultRowHeight="12.75"/>
  <cols>
    <col min="2" max="2" width="10.7109375" bestFit="1" customWidth="1"/>
    <col min="3" max="3" width="11.7109375" bestFit="1" customWidth="1"/>
    <col min="4" max="4" width="12.7109375" bestFit="1" customWidth="1"/>
    <col min="5" max="5" width="6.42578125" bestFit="1" customWidth="1"/>
  </cols>
  <sheetData>
    <row r="1" spans="1:5">
      <c r="A1" s="8" t="s">
        <v>48</v>
      </c>
    </row>
    <row r="3" spans="1:5" ht="13.5" thickBot="1">
      <c r="A3" s="11" t="s">
        <v>19</v>
      </c>
      <c r="B3" s="11" t="s">
        <v>9</v>
      </c>
      <c r="C3" s="11" t="s">
        <v>10</v>
      </c>
      <c r="D3" s="11" t="s">
        <v>11</v>
      </c>
      <c r="E3" s="11" t="s">
        <v>12</v>
      </c>
    </row>
    <row r="4" spans="1:5" ht="13.5" thickTop="1">
      <c r="A4" s="6" t="s">
        <v>49</v>
      </c>
      <c r="B4" s="6">
        <v>0.25</v>
      </c>
      <c r="C4" s="6">
        <v>0.3</v>
      </c>
      <c r="D4" s="6">
        <v>0.2</v>
      </c>
      <c r="E4" s="6">
        <v>27</v>
      </c>
    </row>
    <row r="5" spans="1:5">
      <c r="A5" s="2">
        <v>1</v>
      </c>
      <c r="B5" s="2">
        <v>0.25</v>
      </c>
      <c r="C5" s="2">
        <v>0.4</v>
      </c>
      <c r="D5" s="2">
        <v>0.25</v>
      </c>
      <c r="E5" s="2">
        <v>33</v>
      </c>
    </row>
    <row r="6" spans="1:5">
      <c r="A6" s="2">
        <v>2</v>
      </c>
      <c r="B6" s="2">
        <v>0.3</v>
      </c>
      <c r="C6" s="2">
        <v>0.5</v>
      </c>
      <c r="D6" s="2">
        <v>0.25</v>
      </c>
      <c r="E6" s="2">
        <v>38</v>
      </c>
    </row>
    <row r="7" spans="1:5">
      <c r="A7" s="2">
        <v>3</v>
      </c>
      <c r="B7" s="2">
        <v>0.3</v>
      </c>
      <c r="C7" s="2">
        <v>0.5</v>
      </c>
      <c r="D7" s="2">
        <v>0.25</v>
      </c>
      <c r="E7" s="2">
        <v>55</v>
      </c>
    </row>
    <row r="8" spans="1:5">
      <c r="A8" s="2">
        <v>4</v>
      </c>
      <c r="B8" s="2">
        <v>0.3</v>
      </c>
      <c r="C8" s="2">
        <v>0.5</v>
      </c>
      <c r="D8" s="2">
        <v>0.25</v>
      </c>
      <c r="E8" s="2">
        <v>66</v>
      </c>
    </row>
    <row r="9" spans="1:5">
      <c r="A9" s="2">
        <v>5</v>
      </c>
      <c r="B9" s="2">
        <v>0.5</v>
      </c>
      <c r="C9" s="2">
        <v>0.6</v>
      </c>
      <c r="D9" s="2">
        <v>0.35</v>
      </c>
      <c r="E9" s="2">
        <v>72</v>
      </c>
    </row>
    <row r="10" spans="1:5">
      <c r="A10" s="2">
        <v>7.5</v>
      </c>
      <c r="B10" s="2">
        <v>0.7</v>
      </c>
      <c r="C10" s="2">
        <v>0.8</v>
      </c>
      <c r="D10" s="2">
        <v>0.5</v>
      </c>
      <c r="E10" s="2">
        <v>77</v>
      </c>
    </row>
    <row r="11" spans="1:5">
      <c r="A11" s="2">
        <v>10</v>
      </c>
      <c r="B11" s="2">
        <v>0.7</v>
      </c>
      <c r="C11" s="2">
        <v>1</v>
      </c>
      <c r="D11" s="2">
        <v>0.5</v>
      </c>
      <c r="E11" s="2">
        <v>82</v>
      </c>
    </row>
    <row r="12" spans="1:5">
      <c r="A12" s="2">
        <v>15</v>
      </c>
      <c r="B12" s="2">
        <v>0.7</v>
      </c>
      <c r="C12" s="2">
        <v>1</v>
      </c>
      <c r="D12" s="2">
        <v>0.5</v>
      </c>
      <c r="E12" s="2">
        <v>84</v>
      </c>
    </row>
    <row r="13" spans="1:5">
      <c r="A13" s="2">
        <v>20</v>
      </c>
      <c r="B13" s="2">
        <v>0.8</v>
      </c>
      <c r="C13" s="2">
        <v>1</v>
      </c>
      <c r="D13" s="2">
        <v>0.5</v>
      </c>
      <c r="E13" s="2">
        <v>94</v>
      </c>
    </row>
    <row r="14" spans="1:5">
      <c r="A14" s="2">
        <v>25</v>
      </c>
      <c r="B14" s="2">
        <v>0.9</v>
      </c>
      <c r="C14" s="2">
        <v>1.1000000000000001</v>
      </c>
      <c r="D14" s="2">
        <v>0.6</v>
      </c>
      <c r="E14" s="2">
        <v>98</v>
      </c>
    </row>
    <row r="15" spans="1:5">
      <c r="A15" s="2">
        <v>30</v>
      </c>
      <c r="B15" s="2">
        <v>0.9</v>
      </c>
      <c r="C15" s="2">
        <v>1.3</v>
      </c>
      <c r="D15" s="2">
        <v>0.6</v>
      </c>
      <c r="E15" s="2">
        <v>104</v>
      </c>
    </row>
    <row r="16" spans="1:5">
      <c r="A16" s="2">
        <v>35</v>
      </c>
      <c r="B16" s="2">
        <v>1</v>
      </c>
      <c r="C16" s="2">
        <v>1.4</v>
      </c>
      <c r="D16" s="2">
        <v>0.7</v>
      </c>
      <c r="E16" s="2">
        <v>120</v>
      </c>
    </row>
    <row r="17" spans="1:5">
      <c r="A17" s="2">
        <v>40</v>
      </c>
      <c r="B17" s="2">
        <v>1</v>
      </c>
      <c r="C17" s="2">
        <v>1.4</v>
      </c>
      <c r="D17" s="2">
        <v>0.7</v>
      </c>
      <c r="E17" s="2">
        <v>140</v>
      </c>
    </row>
    <row r="18" spans="1:5">
      <c r="A18" s="2">
        <v>45</v>
      </c>
      <c r="B18" s="2">
        <v>1.1000000000000001</v>
      </c>
      <c r="C18" s="2">
        <v>1.5</v>
      </c>
      <c r="D18" s="2">
        <v>0.7</v>
      </c>
      <c r="E18" s="2">
        <v>160</v>
      </c>
    </row>
    <row r="19" spans="1:5">
      <c r="A19" s="2">
        <v>50</v>
      </c>
      <c r="B19" s="2">
        <v>1.3</v>
      </c>
      <c r="C19" s="2">
        <v>1.6</v>
      </c>
      <c r="D19" s="2">
        <v>0.8</v>
      </c>
      <c r="E19" s="2">
        <v>190</v>
      </c>
    </row>
    <row r="20" spans="1:5">
      <c r="A20" s="2">
        <v>60</v>
      </c>
      <c r="B20" s="2">
        <v>1.3</v>
      </c>
      <c r="C20" s="2">
        <v>1.7</v>
      </c>
      <c r="D20" s="2">
        <v>0.8</v>
      </c>
      <c r="E20" s="2">
        <v>205</v>
      </c>
    </row>
    <row r="21" spans="1:5">
      <c r="A21" s="2">
        <v>75</v>
      </c>
      <c r="B21" s="2">
        <v>1.5</v>
      </c>
      <c r="C21" s="2">
        <v>2</v>
      </c>
      <c r="D21" s="2">
        <v>1</v>
      </c>
      <c r="E21" s="2">
        <v>320</v>
      </c>
    </row>
    <row r="22" spans="1:5">
      <c r="A22" s="2">
        <v>100</v>
      </c>
      <c r="B22" s="2">
        <v>1.6</v>
      </c>
      <c r="C22" s="2">
        <v>2.2000000000000002</v>
      </c>
      <c r="D22" s="2">
        <v>1.2</v>
      </c>
      <c r="E22" s="2">
        <v>390</v>
      </c>
    </row>
  </sheetData>
  <phoneticPr fontId="0"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E10"/>
  <sheetViews>
    <sheetView workbookViewId="0">
      <selection activeCell="B10" sqref="B10"/>
    </sheetView>
  </sheetViews>
  <sheetFormatPr defaultRowHeight="12.75"/>
  <cols>
    <col min="2" max="2" width="10.7109375" bestFit="1" customWidth="1"/>
    <col min="3" max="3" width="11.7109375" bestFit="1" customWidth="1"/>
    <col min="4" max="4" width="12.7109375" bestFit="1" customWidth="1"/>
    <col min="5" max="5" width="6.42578125" bestFit="1" customWidth="1"/>
  </cols>
  <sheetData>
    <row r="1" spans="1:5">
      <c r="A1" s="8" t="s">
        <v>50</v>
      </c>
    </row>
    <row r="3" spans="1:5" ht="13.5" thickBot="1">
      <c r="A3" s="11" t="s">
        <v>19</v>
      </c>
      <c r="B3" s="11" t="s">
        <v>9</v>
      </c>
      <c r="C3" s="11" t="s">
        <v>10</v>
      </c>
      <c r="D3" s="11" t="s">
        <v>11</v>
      </c>
      <c r="E3" s="11" t="s">
        <v>12</v>
      </c>
    </row>
    <row r="4" spans="1:5" ht="13.5" thickTop="1">
      <c r="A4" s="6">
        <v>25</v>
      </c>
      <c r="B4" s="6">
        <v>2.5</v>
      </c>
      <c r="C4" s="6">
        <v>2</v>
      </c>
      <c r="D4" s="6">
        <v>1</v>
      </c>
      <c r="E4" s="6">
        <v>265</v>
      </c>
    </row>
    <row r="5" spans="1:5">
      <c r="A5" s="2">
        <v>35</v>
      </c>
      <c r="B5" s="2">
        <v>3.2</v>
      </c>
      <c r="C5" s="2">
        <v>2.5</v>
      </c>
      <c r="D5" s="2">
        <v>1.5</v>
      </c>
      <c r="E5" s="2">
        <v>310</v>
      </c>
    </row>
    <row r="6" spans="1:5">
      <c r="A6" s="2">
        <v>50</v>
      </c>
      <c r="B6" s="2">
        <v>3.5</v>
      </c>
      <c r="C6" s="2">
        <v>2.7</v>
      </c>
      <c r="D6" s="2">
        <v>1.5</v>
      </c>
      <c r="E6" s="2">
        <v>330</v>
      </c>
    </row>
    <row r="7" spans="1:5">
      <c r="A7" s="2">
        <v>75</v>
      </c>
      <c r="B7" s="2">
        <v>3.7</v>
      </c>
      <c r="C7" s="2">
        <v>2.8</v>
      </c>
      <c r="D7" s="2">
        <v>1.5</v>
      </c>
      <c r="E7" s="2">
        <v>345</v>
      </c>
    </row>
    <row r="8" spans="1:5">
      <c r="A8" s="2">
        <v>100</v>
      </c>
      <c r="B8" s="2">
        <v>4</v>
      </c>
      <c r="C8" s="2">
        <v>3.1</v>
      </c>
      <c r="D8" s="2">
        <v>1.7</v>
      </c>
      <c r="E8" s="2">
        <v>370</v>
      </c>
    </row>
    <row r="10" spans="1:5">
      <c r="C10">
        <v>2.8</v>
      </c>
    </row>
  </sheetData>
  <phoneticPr fontId="0" type="noConversion"/>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9"/>
  <sheetViews>
    <sheetView workbookViewId="0">
      <selection activeCell="H11" sqref="H11"/>
    </sheetView>
  </sheetViews>
  <sheetFormatPr defaultRowHeight="12.75"/>
  <cols>
    <col min="2" max="2" width="10.7109375" bestFit="1" customWidth="1"/>
    <col min="3" max="3" width="11.7109375" bestFit="1" customWidth="1"/>
    <col min="4" max="4" width="12.7109375" bestFit="1" customWidth="1"/>
    <col min="5" max="5" width="6.42578125" bestFit="1" customWidth="1"/>
  </cols>
  <sheetData>
    <row r="1" spans="1:5">
      <c r="A1" s="8" t="s">
        <v>51</v>
      </c>
    </row>
    <row r="3" spans="1:5">
      <c r="A3" s="13" t="s">
        <v>19</v>
      </c>
      <c r="B3" s="13" t="s">
        <v>9</v>
      </c>
      <c r="C3" s="13" t="s">
        <v>10</v>
      </c>
      <c r="D3" s="13" t="s">
        <v>11</v>
      </c>
      <c r="E3" s="13" t="s">
        <v>12</v>
      </c>
    </row>
    <row r="4" spans="1:5">
      <c r="A4" s="3" t="s">
        <v>52</v>
      </c>
      <c r="B4" s="3">
        <v>3</v>
      </c>
      <c r="C4" s="3">
        <v>1.5</v>
      </c>
      <c r="D4" s="3">
        <v>2</v>
      </c>
      <c r="E4" s="3">
        <v>44</v>
      </c>
    </row>
    <row r="5" spans="1:5">
      <c r="A5" s="3">
        <v>2</v>
      </c>
      <c r="B5" s="3">
        <v>3</v>
      </c>
      <c r="C5" s="3">
        <v>2</v>
      </c>
      <c r="D5" s="3">
        <v>2</v>
      </c>
      <c r="E5" s="3">
        <v>66</v>
      </c>
    </row>
    <row r="6" spans="1:5">
      <c r="A6" s="3">
        <v>5</v>
      </c>
      <c r="B6" s="3">
        <v>4</v>
      </c>
      <c r="C6" s="3">
        <v>2</v>
      </c>
      <c r="D6" s="3">
        <v>2</v>
      </c>
      <c r="E6" s="3">
        <v>105</v>
      </c>
    </row>
    <row r="7" spans="1:5">
      <c r="A7" s="3">
        <v>7.5</v>
      </c>
      <c r="B7" s="3">
        <v>4</v>
      </c>
      <c r="C7" s="3">
        <v>2</v>
      </c>
      <c r="D7" s="3">
        <v>2</v>
      </c>
      <c r="E7" s="3">
        <v>120</v>
      </c>
    </row>
    <row r="8" spans="1:5">
      <c r="A8" s="3">
        <v>10</v>
      </c>
      <c r="B8" s="3">
        <v>4</v>
      </c>
      <c r="C8" s="3">
        <v>2.5</v>
      </c>
      <c r="D8" s="3">
        <v>2</v>
      </c>
      <c r="E8" s="3">
        <v>135</v>
      </c>
    </row>
    <row r="9" spans="1:5">
      <c r="A9" t="s">
        <v>53</v>
      </c>
    </row>
  </sheetData>
  <phoneticPr fontId="0" type="noConversion"/>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12"/>
  <sheetViews>
    <sheetView workbookViewId="0">
      <selection activeCell="Q37" sqref="Q37"/>
    </sheetView>
  </sheetViews>
  <sheetFormatPr defaultRowHeight="12.75"/>
  <cols>
    <col min="1" max="1" width="17.28515625" bestFit="1" customWidth="1"/>
    <col min="2" max="2" width="10.7109375" bestFit="1" customWidth="1"/>
    <col min="3" max="3" width="11.7109375" bestFit="1" customWidth="1"/>
    <col min="4" max="4" width="12.7109375" bestFit="1" customWidth="1"/>
    <col min="5" max="5" width="11.28515625" bestFit="1" customWidth="1"/>
  </cols>
  <sheetData>
    <row r="1" spans="1:7">
      <c r="A1" s="8" t="s">
        <v>54</v>
      </c>
    </row>
    <row r="3" spans="1:7" ht="13.5" thickBot="1">
      <c r="A3" s="11" t="s">
        <v>55</v>
      </c>
      <c r="B3" s="11" t="s">
        <v>9</v>
      </c>
      <c r="C3" s="11" t="s">
        <v>10</v>
      </c>
      <c r="D3" s="11" t="s">
        <v>11</v>
      </c>
      <c r="E3" s="11" t="s">
        <v>12</v>
      </c>
    </row>
    <row r="4" spans="1:7" ht="13.5" thickTop="1">
      <c r="A4" s="6" t="s">
        <v>56</v>
      </c>
      <c r="B4" s="7">
        <v>0.1</v>
      </c>
      <c r="C4" s="7">
        <v>0.1</v>
      </c>
      <c r="D4" s="7">
        <v>0.1</v>
      </c>
      <c r="E4" s="7">
        <v>4</v>
      </c>
    </row>
    <row r="5" spans="1:7">
      <c r="A5" s="2" t="s">
        <v>57</v>
      </c>
      <c r="B5" s="3">
        <v>0.2</v>
      </c>
      <c r="C5" s="3">
        <v>0.2</v>
      </c>
      <c r="D5" s="3">
        <v>0.1</v>
      </c>
      <c r="E5" s="3">
        <v>8</v>
      </c>
    </row>
    <row r="6" spans="1:7">
      <c r="A6" s="2" t="s">
        <v>58</v>
      </c>
      <c r="B6" s="3">
        <v>1</v>
      </c>
      <c r="C6" s="3">
        <v>0.3</v>
      </c>
      <c r="D6" s="3">
        <v>0.2</v>
      </c>
      <c r="E6" s="3">
        <v>30</v>
      </c>
    </row>
    <row r="7" spans="1:7">
      <c r="A7" s="2" t="s">
        <v>59</v>
      </c>
      <c r="B7" s="3"/>
      <c r="C7" s="3"/>
      <c r="D7" s="3"/>
      <c r="E7" s="3"/>
    </row>
    <row r="8" spans="1:7">
      <c r="A8" s="2" t="s">
        <v>60</v>
      </c>
      <c r="B8" s="2" t="s">
        <v>61</v>
      </c>
      <c r="C8" s="2" t="s">
        <v>62</v>
      </c>
      <c r="D8" s="2"/>
      <c r="E8" s="2"/>
    </row>
    <row r="11" spans="1:7">
      <c r="A11" t="s">
        <v>63</v>
      </c>
      <c r="E11" t="s">
        <v>64</v>
      </c>
      <c r="G11">
        <v>1.5</v>
      </c>
    </row>
    <row r="12" spans="1:7">
      <c r="E12" t="s">
        <v>65</v>
      </c>
      <c r="G12">
        <v>1</v>
      </c>
    </row>
  </sheetData>
  <phoneticPr fontId="0" type="noConversion"/>
  <pageMargins left="0.75" right="0.75" top="1" bottom="1" header="0.5" footer="0.5"/>
  <pageSetup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E9"/>
  <sheetViews>
    <sheetView workbookViewId="0">
      <selection activeCell="G4" sqref="G4"/>
    </sheetView>
  </sheetViews>
  <sheetFormatPr defaultRowHeight="12.75"/>
  <cols>
    <col min="2" max="2" width="10.7109375" bestFit="1" customWidth="1"/>
    <col min="3" max="3" width="11.7109375" bestFit="1" customWidth="1"/>
    <col min="4" max="4" width="12.7109375" bestFit="1" customWidth="1"/>
    <col min="5" max="5" width="6.42578125" bestFit="1" customWidth="1"/>
  </cols>
  <sheetData>
    <row r="1" spans="1:5">
      <c r="A1" s="8" t="s">
        <v>67</v>
      </c>
    </row>
    <row r="3" spans="1:5" ht="13.5" thickBot="1">
      <c r="A3" s="11" t="s">
        <v>66</v>
      </c>
      <c r="B3" s="11" t="s">
        <v>9</v>
      </c>
      <c r="C3" s="11" t="s">
        <v>10</v>
      </c>
      <c r="D3" s="11" t="s">
        <v>11</v>
      </c>
      <c r="E3" s="11" t="s">
        <v>12</v>
      </c>
    </row>
    <row r="4" spans="1:5" ht="13.5" thickTop="1">
      <c r="A4" s="7">
        <v>1.5</v>
      </c>
      <c r="B4" s="7">
        <v>2</v>
      </c>
      <c r="C4" s="7">
        <v>1</v>
      </c>
      <c r="D4" s="7">
        <v>1</v>
      </c>
      <c r="E4" s="7">
        <v>70</v>
      </c>
    </row>
    <row r="5" spans="1:5">
      <c r="A5" s="3">
        <v>2</v>
      </c>
      <c r="B5" s="3">
        <v>2.5</v>
      </c>
      <c r="C5" s="3">
        <v>1.5</v>
      </c>
      <c r="D5" s="3">
        <v>1</v>
      </c>
      <c r="E5" s="3">
        <v>90</v>
      </c>
    </row>
    <row r="6" spans="1:5">
      <c r="A6" s="3">
        <v>2.5</v>
      </c>
      <c r="B6" s="3">
        <v>2.5</v>
      </c>
      <c r="C6" s="3">
        <v>1.5</v>
      </c>
      <c r="D6" s="3">
        <v>1</v>
      </c>
      <c r="E6" s="3">
        <v>110</v>
      </c>
    </row>
    <row r="7" spans="1:5">
      <c r="A7" s="3">
        <v>3</v>
      </c>
      <c r="B7" s="3">
        <v>2.5</v>
      </c>
      <c r="C7" s="3">
        <v>1.5</v>
      </c>
      <c r="D7" s="3">
        <v>1</v>
      </c>
      <c r="E7" s="3">
        <v>125</v>
      </c>
    </row>
    <row r="8" spans="1:5">
      <c r="A8" s="3">
        <v>4</v>
      </c>
      <c r="B8" s="3">
        <v>3</v>
      </c>
      <c r="C8" s="3">
        <v>2</v>
      </c>
      <c r="D8" s="3">
        <v>1.5</v>
      </c>
      <c r="E8" s="3">
        <v>160</v>
      </c>
    </row>
    <row r="9" spans="1:5">
      <c r="A9" s="3">
        <v>5</v>
      </c>
      <c r="B9" s="3">
        <v>3.5</v>
      </c>
      <c r="C9" s="3">
        <v>2.5</v>
      </c>
      <c r="D9" s="3">
        <v>1.5</v>
      </c>
      <c r="E9" s="3">
        <v>195</v>
      </c>
    </row>
  </sheetData>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E15"/>
  <sheetViews>
    <sheetView workbookViewId="0">
      <selection activeCell="F6" sqref="F6"/>
    </sheetView>
  </sheetViews>
  <sheetFormatPr defaultRowHeight="12.75"/>
  <cols>
    <col min="1" max="1" width="16.140625" bestFit="1" customWidth="1"/>
    <col min="2" max="2" width="10.7109375" bestFit="1" customWidth="1"/>
    <col min="3" max="3" width="11.7109375" bestFit="1" customWidth="1"/>
    <col min="4" max="4" width="12.7109375" bestFit="1" customWidth="1"/>
    <col min="5" max="5" width="6.42578125" bestFit="1" customWidth="1"/>
  </cols>
  <sheetData>
    <row r="1" spans="1:5">
      <c r="A1" s="8" t="s">
        <v>68</v>
      </c>
    </row>
    <row r="3" spans="1:5" ht="13.5" thickBot="1">
      <c r="A3" s="11" t="s">
        <v>69</v>
      </c>
      <c r="B3" s="11" t="s">
        <v>9</v>
      </c>
      <c r="C3" s="11" t="s">
        <v>10</v>
      </c>
      <c r="D3" s="11" t="s">
        <v>11</v>
      </c>
      <c r="E3" s="11" t="s">
        <v>12</v>
      </c>
    </row>
    <row r="4" spans="1:5" ht="13.5" thickTop="1">
      <c r="A4" s="14">
        <v>250</v>
      </c>
      <c r="B4" s="7">
        <v>1</v>
      </c>
      <c r="C4" s="7">
        <v>0.5</v>
      </c>
      <c r="D4" s="7">
        <v>0.2</v>
      </c>
      <c r="E4" s="7">
        <v>65</v>
      </c>
    </row>
    <row r="5" spans="1:5">
      <c r="A5" s="2" t="s">
        <v>70</v>
      </c>
      <c r="B5" s="3">
        <v>1.5</v>
      </c>
      <c r="C5" s="3">
        <v>0.7</v>
      </c>
      <c r="D5" s="3">
        <v>0.3</v>
      </c>
      <c r="E5" s="3">
        <v>85</v>
      </c>
    </row>
    <row r="6" spans="1:5">
      <c r="A6" s="2" t="s">
        <v>71</v>
      </c>
      <c r="B6" s="3">
        <v>1.7</v>
      </c>
      <c r="C6" s="3">
        <v>1</v>
      </c>
      <c r="D6" s="3">
        <v>0.5</v>
      </c>
      <c r="E6" s="3">
        <v>110</v>
      </c>
    </row>
    <row r="7" spans="1:5">
      <c r="A7" s="2" t="s">
        <v>72</v>
      </c>
      <c r="B7" s="3">
        <v>1.7</v>
      </c>
      <c r="C7" s="3">
        <v>1</v>
      </c>
      <c r="D7" s="3">
        <v>0.5</v>
      </c>
      <c r="E7" s="3">
        <v>135</v>
      </c>
    </row>
    <row r="8" spans="1:5">
      <c r="A8" s="2" t="s">
        <v>73</v>
      </c>
      <c r="B8" s="3">
        <v>2</v>
      </c>
      <c r="C8" s="3">
        <v>1</v>
      </c>
      <c r="D8" s="3">
        <v>0.7</v>
      </c>
      <c r="E8" s="3">
        <v>15</v>
      </c>
    </row>
    <row r="9" spans="1:5">
      <c r="A9" s="2" t="s">
        <v>74</v>
      </c>
      <c r="B9" s="3">
        <v>2</v>
      </c>
      <c r="C9" s="3">
        <v>1.2</v>
      </c>
      <c r="D9" s="3">
        <v>0.8</v>
      </c>
      <c r="E9" s="3">
        <v>180</v>
      </c>
    </row>
    <row r="10" spans="1:5">
      <c r="A10" s="2" t="s">
        <v>75</v>
      </c>
      <c r="B10" s="3">
        <v>2</v>
      </c>
      <c r="C10" s="3">
        <v>1.4</v>
      </c>
      <c r="D10" s="3">
        <v>1</v>
      </c>
      <c r="E10" s="3">
        <v>215</v>
      </c>
    </row>
    <row r="11" spans="1:5">
      <c r="A11" s="2" t="s">
        <v>76</v>
      </c>
      <c r="B11" s="3">
        <v>2</v>
      </c>
      <c r="C11" s="3">
        <v>1.5</v>
      </c>
      <c r="D11" s="3">
        <v>1</v>
      </c>
      <c r="E11" s="3">
        <v>245</v>
      </c>
    </row>
    <row r="12" spans="1:5">
      <c r="A12" s="2" t="s">
        <v>77</v>
      </c>
      <c r="B12" s="3">
        <v>2</v>
      </c>
      <c r="C12" s="3">
        <v>1.5</v>
      </c>
      <c r="D12" s="3">
        <v>1</v>
      </c>
      <c r="E12" s="3">
        <v>280</v>
      </c>
    </row>
    <row r="13" spans="1:5">
      <c r="A13" s="2" t="s">
        <v>78</v>
      </c>
      <c r="B13" s="3">
        <v>2</v>
      </c>
      <c r="C13" s="3">
        <v>1.5</v>
      </c>
      <c r="D13" s="3">
        <v>1</v>
      </c>
      <c r="E13" s="3">
        <v>300</v>
      </c>
    </row>
    <row r="14" spans="1:5">
      <c r="A14" s="2" t="s">
        <v>79</v>
      </c>
      <c r="B14" s="3">
        <v>2.2999999999999998</v>
      </c>
      <c r="C14" s="3">
        <v>1.5</v>
      </c>
      <c r="D14" s="3">
        <v>1</v>
      </c>
      <c r="E14" s="3">
        <v>330</v>
      </c>
    </row>
    <row r="15" spans="1:5">
      <c r="A15" s="2" t="s">
        <v>80</v>
      </c>
      <c r="B15" s="3">
        <v>2.5</v>
      </c>
      <c r="C15" s="3">
        <v>1.5</v>
      </c>
      <c r="D15" s="3">
        <v>1</v>
      </c>
      <c r="E15" s="3">
        <v>350</v>
      </c>
    </row>
  </sheetData>
  <phoneticPr fontId="0" type="noConversion"/>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E6"/>
  <sheetViews>
    <sheetView workbookViewId="0">
      <selection activeCell="E36" sqref="E36"/>
    </sheetView>
  </sheetViews>
  <sheetFormatPr defaultRowHeight="12.75"/>
  <cols>
    <col min="1" max="1" width="14.28515625" customWidth="1"/>
    <col min="2" max="2" width="10.7109375" bestFit="1" customWidth="1"/>
    <col min="3" max="3" width="11.7109375" bestFit="1" customWidth="1"/>
    <col min="4" max="4" width="12.7109375" bestFit="1" customWidth="1"/>
    <col min="5" max="5" width="6.42578125" bestFit="1" customWidth="1"/>
  </cols>
  <sheetData>
    <row r="1" spans="1:5">
      <c r="A1" s="8" t="s">
        <v>81</v>
      </c>
    </row>
    <row r="3" spans="1:5" ht="13.5" thickBot="1">
      <c r="A3" s="11" t="s">
        <v>69</v>
      </c>
      <c r="B3" s="11" t="s">
        <v>9</v>
      </c>
      <c r="C3" s="11" t="s">
        <v>10</v>
      </c>
      <c r="D3" s="11" t="s">
        <v>11</v>
      </c>
      <c r="E3" s="11" t="s">
        <v>12</v>
      </c>
    </row>
    <row r="4" spans="1:5" ht="13.5" thickTop="1">
      <c r="A4" s="14">
        <v>100</v>
      </c>
      <c r="B4" s="6">
        <v>0.5</v>
      </c>
      <c r="C4" s="6">
        <v>0.3</v>
      </c>
      <c r="D4" s="6">
        <v>0.3</v>
      </c>
      <c r="E4" s="6">
        <v>22</v>
      </c>
    </row>
    <row r="5" spans="1:5">
      <c r="A5" s="2" t="s">
        <v>82</v>
      </c>
      <c r="B5" s="2">
        <v>0.5</v>
      </c>
      <c r="C5" s="2">
        <v>0.3</v>
      </c>
      <c r="D5" s="2">
        <v>0.3</v>
      </c>
      <c r="E5" s="2">
        <v>30</v>
      </c>
    </row>
    <row r="6" spans="1:5">
      <c r="A6" s="2" t="s">
        <v>83</v>
      </c>
      <c r="B6" s="2">
        <v>0.7</v>
      </c>
      <c r="C6" s="2">
        <v>0.5</v>
      </c>
      <c r="D6" s="2">
        <v>0.5</v>
      </c>
      <c r="E6" s="2">
        <v>35</v>
      </c>
    </row>
  </sheetData>
  <phoneticPr fontId="0" type="noConversion"/>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dimension ref="A1:E6"/>
  <sheetViews>
    <sheetView workbookViewId="0"/>
  </sheetViews>
  <sheetFormatPr defaultRowHeight="12.75"/>
  <cols>
    <col min="2" max="2" width="10.7109375" bestFit="1" customWidth="1"/>
    <col min="3" max="3" width="11.7109375" bestFit="1" customWidth="1"/>
    <col min="4" max="4" width="12.7109375" bestFit="1" customWidth="1"/>
    <col min="5" max="5" width="6.42578125" bestFit="1" customWidth="1"/>
  </cols>
  <sheetData>
    <row r="1" spans="1:5">
      <c r="A1" s="8" t="s">
        <v>84</v>
      </c>
    </row>
    <row r="3" spans="1:5" ht="13.5" thickBot="1">
      <c r="B3" s="11" t="s">
        <v>9</v>
      </c>
      <c r="C3" s="11" t="s">
        <v>10</v>
      </c>
      <c r="D3" s="11" t="s">
        <v>11</v>
      </c>
      <c r="E3" s="11" t="s">
        <v>12</v>
      </c>
    </row>
    <row r="4" spans="1:5" ht="13.5" thickTop="1">
      <c r="B4" s="7">
        <v>0.7</v>
      </c>
      <c r="C4" s="7">
        <v>0.3</v>
      </c>
      <c r="D4" s="7">
        <v>0.3</v>
      </c>
      <c r="E4" s="7">
        <v>35</v>
      </c>
    </row>
    <row r="6" spans="1:5">
      <c r="B6" t="s">
        <v>85</v>
      </c>
    </row>
  </sheetData>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dimension ref="A1:E17"/>
  <sheetViews>
    <sheetView workbookViewId="0">
      <selection activeCell="B26" sqref="B26"/>
    </sheetView>
  </sheetViews>
  <sheetFormatPr defaultRowHeight="12.75"/>
  <cols>
    <col min="1" max="1" width="23" bestFit="1" customWidth="1"/>
    <col min="2" max="2" width="10.7109375" bestFit="1" customWidth="1"/>
    <col min="3" max="3" width="11.7109375" bestFit="1" customWidth="1"/>
    <col min="4" max="4" width="12.7109375" bestFit="1" customWidth="1"/>
    <col min="5" max="5" width="6.42578125" bestFit="1" customWidth="1"/>
  </cols>
  <sheetData>
    <row r="1" spans="1:5">
      <c r="A1" s="8" t="s">
        <v>86</v>
      </c>
    </row>
    <row r="3" spans="1:5" ht="13.5" thickBot="1">
      <c r="A3" s="11" t="s">
        <v>87</v>
      </c>
      <c r="B3" s="11" t="s">
        <v>9</v>
      </c>
      <c r="C3" s="11" t="s">
        <v>10</v>
      </c>
      <c r="D3" s="11" t="s">
        <v>11</v>
      </c>
      <c r="E3" s="11" t="s">
        <v>12</v>
      </c>
    </row>
    <row r="4" spans="1:5" ht="13.5" thickTop="1">
      <c r="A4" s="6" t="s">
        <v>88</v>
      </c>
      <c r="B4" s="6">
        <v>2.5</v>
      </c>
      <c r="C4" s="6">
        <v>0</v>
      </c>
      <c r="D4" s="6">
        <v>0</v>
      </c>
      <c r="E4" s="6">
        <v>50</v>
      </c>
    </row>
    <row r="5" spans="1:5">
      <c r="A5" s="2" t="s">
        <v>89</v>
      </c>
      <c r="B5" s="2">
        <v>0.5</v>
      </c>
      <c r="C5" s="2">
        <v>0.5</v>
      </c>
      <c r="D5" s="2">
        <v>0.5</v>
      </c>
      <c r="E5" s="2">
        <v>35</v>
      </c>
    </row>
    <row r="6" spans="1:5">
      <c r="A6" s="2" t="s">
        <v>90</v>
      </c>
      <c r="B6" s="2">
        <v>0.5</v>
      </c>
      <c r="C6" s="2">
        <v>0.5</v>
      </c>
      <c r="D6" s="2">
        <v>0.2</v>
      </c>
      <c r="E6" s="2">
        <v>33</v>
      </c>
    </row>
    <row r="7" spans="1:5">
      <c r="A7" s="2" t="s">
        <v>91</v>
      </c>
      <c r="B7" s="2">
        <v>0.5</v>
      </c>
      <c r="C7" s="2">
        <v>0.5</v>
      </c>
      <c r="D7" s="2">
        <v>0.2</v>
      </c>
      <c r="E7" s="2">
        <v>47</v>
      </c>
    </row>
    <row r="8" spans="1:5">
      <c r="A8" s="2" t="s">
        <v>92</v>
      </c>
      <c r="B8" s="2">
        <v>0.5</v>
      </c>
      <c r="C8" s="2">
        <v>0.2</v>
      </c>
      <c r="D8" s="2">
        <v>0.1</v>
      </c>
      <c r="E8" s="2">
        <v>18</v>
      </c>
    </row>
    <row r="9" spans="1:5">
      <c r="A9" s="2" t="s">
        <v>93</v>
      </c>
      <c r="B9" s="2">
        <v>0.3</v>
      </c>
      <c r="C9" s="2">
        <v>0.2</v>
      </c>
      <c r="D9" s="2">
        <v>0.1</v>
      </c>
      <c r="E9" s="2">
        <v>22</v>
      </c>
    </row>
    <row r="10" spans="1:5">
      <c r="A10" s="2" t="s">
        <v>94</v>
      </c>
      <c r="B10" s="2">
        <v>0.5</v>
      </c>
      <c r="C10" s="2">
        <v>0.3</v>
      </c>
      <c r="D10" s="2">
        <v>0.2</v>
      </c>
      <c r="E10" s="2">
        <v>125</v>
      </c>
    </row>
    <row r="11" spans="1:5">
      <c r="A11" s="2" t="s">
        <v>95</v>
      </c>
      <c r="B11" s="2">
        <v>0.2</v>
      </c>
      <c r="C11" s="2">
        <v>0.2</v>
      </c>
      <c r="D11" s="2">
        <v>0.1</v>
      </c>
      <c r="E11" s="2">
        <v>26</v>
      </c>
    </row>
    <row r="12" spans="1:5">
      <c r="A12" s="2" t="s">
        <v>96</v>
      </c>
      <c r="B12" s="2">
        <v>0.2</v>
      </c>
      <c r="C12" s="2">
        <v>0.1</v>
      </c>
      <c r="D12" s="2">
        <v>0.1</v>
      </c>
      <c r="E12" s="2">
        <v>14</v>
      </c>
    </row>
    <row r="13" spans="1:5">
      <c r="A13" s="2" t="s">
        <v>101</v>
      </c>
      <c r="B13" s="2">
        <v>0.2</v>
      </c>
      <c r="C13" s="2">
        <v>0.3</v>
      </c>
      <c r="D13" s="2">
        <v>0.1</v>
      </c>
      <c r="E13" s="2">
        <v>27</v>
      </c>
    </row>
    <row r="14" spans="1:5">
      <c r="A14" s="2" t="s">
        <v>97</v>
      </c>
      <c r="B14" s="2">
        <v>0.1</v>
      </c>
      <c r="C14" s="2">
        <v>0.3</v>
      </c>
      <c r="D14" s="2">
        <v>0.2</v>
      </c>
      <c r="E14" s="2">
        <v>41</v>
      </c>
    </row>
    <row r="15" spans="1:5">
      <c r="A15" s="2" t="s">
        <v>98</v>
      </c>
      <c r="B15" s="2">
        <v>1.9</v>
      </c>
      <c r="C15" s="2">
        <v>1.2</v>
      </c>
      <c r="D15" s="2">
        <v>1.2</v>
      </c>
      <c r="E15" s="2">
        <v>125</v>
      </c>
    </row>
    <row r="16" spans="1:5">
      <c r="A16" s="2" t="s">
        <v>99</v>
      </c>
      <c r="B16" s="2">
        <v>1.2</v>
      </c>
      <c r="C16" s="2">
        <v>0.8</v>
      </c>
      <c r="D16" s="2">
        <v>0.2</v>
      </c>
      <c r="E16" s="2">
        <v>105</v>
      </c>
    </row>
    <row r="17" spans="1:5">
      <c r="A17" s="2" t="s">
        <v>100</v>
      </c>
      <c r="B17" s="2">
        <v>2.1</v>
      </c>
      <c r="C17" s="2">
        <v>1.8</v>
      </c>
      <c r="D17" s="2">
        <v>1.8</v>
      </c>
      <c r="E17" s="2">
        <v>75</v>
      </c>
    </row>
  </sheetData>
  <phoneticPr fontId="0" type="noConversion"/>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E8"/>
  <sheetViews>
    <sheetView workbookViewId="0">
      <selection activeCell="G7" sqref="G7"/>
    </sheetView>
  </sheetViews>
  <sheetFormatPr defaultRowHeight="12.75"/>
  <cols>
    <col min="1" max="1" width="9.7109375" bestFit="1" customWidth="1"/>
    <col min="2" max="2" width="10.7109375" bestFit="1" customWidth="1"/>
    <col min="3" max="3" width="11.7109375" bestFit="1" customWidth="1"/>
    <col min="4" max="4" width="12.7109375" bestFit="1" customWidth="1"/>
    <col min="5" max="5" width="6.42578125" bestFit="1" customWidth="1"/>
  </cols>
  <sheetData>
    <row r="1" spans="1:5">
      <c r="A1" s="685" t="s">
        <v>18</v>
      </c>
      <c r="B1" s="686"/>
    </row>
    <row r="3" spans="1:5" ht="13.5" thickBot="1">
      <c r="A3" s="11" t="s">
        <v>19</v>
      </c>
      <c r="B3" s="11" t="s">
        <v>9</v>
      </c>
      <c r="C3" s="11" t="s">
        <v>10</v>
      </c>
      <c r="D3" s="11" t="s">
        <v>11</v>
      </c>
      <c r="E3" s="11" t="s">
        <v>12</v>
      </c>
    </row>
    <row r="4" spans="1:5" ht="13.5" thickTop="1">
      <c r="A4" s="6" t="s">
        <v>20</v>
      </c>
      <c r="B4" s="7">
        <v>0.5</v>
      </c>
      <c r="C4" s="7">
        <v>0.5</v>
      </c>
      <c r="D4" s="7">
        <v>0.5</v>
      </c>
      <c r="E4" s="7">
        <v>20</v>
      </c>
    </row>
    <row r="5" spans="1:5">
      <c r="A5" s="2" t="s">
        <v>21</v>
      </c>
      <c r="B5" s="3">
        <v>1</v>
      </c>
      <c r="C5" s="3">
        <v>0.5</v>
      </c>
      <c r="D5" s="3">
        <v>0.5</v>
      </c>
      <c r="E5" s="3">
        <v>30</v>
      </c>
    </row>
    <row r="6" spans="1:5">
      <c r="A6" s="2" t="s">
        <v>22</v>
      </c>
      <c r="B6" s="3">
        <v>1.5</v>
      </c>
      <c r="C6" s="3">
        <v>0.7</v>
      </c>
      <c r="D6" s="3">
        <v>0.5</v>
      </c>
      <c r="E6" s="3">
        <v>45</v>
      </c>
    </row>
    <row r="7" spans="1:5">
      <c r="A7" s="2" t="s">
        <v>23</v>
      </c>
      <c r="B7" s="3">
        <v>1.8</v>
      </c>
      <c r="C7" s="3">
        <v>1</v>
      </c>
      <c r="D7" s="3">
        <v>0.5</v>
      </c>
      <c r="E7" s="3">
        <v>52</v>
      </c>
    </row>
    <row r="8" spans="1:5">
      <c r="A8" s="2" t="s">
        <v>24</v>
      </c>
      <c r="B8" s="3">
        <v>2</v>
      </c>
      <c r="C8" s="3">
        <v>1.3</v>
      </c>
      <c r="D8" s="3">
        <v>0.7</v>
      </c>
      <c r="E8" s="3">
        <v>60</v>
      </c>
    </row>
  </sheetData>
  <mergeCells count="1">
    <mergeCell ref="A1:B1"/>
  </mergeCells>
  <phoneticPr fontId="0"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A0EAFAE-40C4-40A2-9DB0-DBCC3550CF6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BOOKING FORM INSTRUCTIONS</vt:lpstr>
      <vt:lpstr>SINGLE YEAR BOOKING SHEET</vt:lpstr>
      <vt:lpstr>MULTI YEAR BOOKING SHEET</vt:lpstr>
      <vt:lpstr>BOOKING FORM</vt:lpstr>
      <vt:lpstr>ESTIMATE INSTRUCTIONS</vt:lpstr>
      <vt:lpstr>HIDE - LABOR RATES</vt:lpstr>
      <vt:lpstr>ESTIMATE</vt:lpstr>
      <vt:lpstr>SERVICE ESTIMATE</vt:lpstr>
      <vt:lpstr>REDO - EXAMPLE</vt:lpstr>
      <vt:lpstr>HIDE - Dropdowns</vt:lpstr>
      <vt:lpstr>HIDE - DATA</vt:lpstr>
      <vt:lpstr>HIDE - EQUIP TYPES</vt:lpstr>
      <vt:lpstr>BELTS </vt:lpstr>
      <vt:lpstr>FILTERS</vt:lpstr>
      <vt:lpstr>RTU</vt:lpstr>
      <vt:lpstr>Cooling Towers</vt:lpstr>
      <vt:lpstr>Centrifugal Comp.</vt:lpstr>
      <vt:lpstr>Air Cooled Condenser</vt:lpstr>
      <vt:lpstr>Boiler</vt:lpstr>
      <vt:lpstr>Pumps</vt:lpstr>
      <vt:lpstr>Axial Fans</vt:lpstr>
      <vt:lpstr>Air Compressors</vt:lpstr>
      <vt:lpstr>Electric Controls</vt:lpstr>
      <vt:lpstr>Water Source Heat Pump</vt:lpstr>
      <vt:lpstr>Make-Up Air</vt:lpstr>
      <vt:lpstr>Res. GasFurnace</vt:lpstr>
      <vt:lpstr>Res. AC Unit</vt:lpstr>
      <vt:lpstr>Misc. Equip.</vt:lpstr>
      <vt:lpstr>Air Handling Unit</vt:lpstr>
      <vt:lpstr>'SERVICE ESTIMATE'!Print_Area</vt:lpstr>
    </vt:vector>
  </TitlesOfParts>
  <Company>J. F. Ahern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Bavisotto</dc:creator>
  <cp:lastModifiedBy>Sarah Lake</cp:lastModifiedBy>
  <cp:lastPrinted>2023-09-14T13:43:12Z</cp:lastPrinted>
  <dcterms:created xsi:type="dcterms:W3CDTF">2000-08-03T16:01:07Z</dcterms:created>
  <dcterms:modified xsi:type="dcterms:W3CDTF">2025-09-05T18:53:46Z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34b5fd3-3c57-4dcf-b54e-12b80005a7c0_Enabled">
    <vt:lpwstr>true</vt:lpwstr>
  </property>
  <property fmtid="{D5CDD505-2E9C-101B-9397-08002B2CF9AE}" pid="3" name="MSIP_Label_334b5fd3-3c57-4dcf-b54e-12b80005a7c0_SetDate">
    <vt:lpwstr>2024-11-07T13:16:06Z</vt:lpwstr>
  </property>
  <property fmtid="{D5CDD505-2E9C-101B-9397-08002B2CF9AE}" pid="4" name="MSIP_Label_334b5fd3-3c57-4dcf-b54e-12b80005a7c0_Method">
    <vt:lpwstr>Standard</vt:lpwstr>
  </property>
  <property fmtid="{D5CDD505-2E9C-101B-9397-08002B2CF9AE}" pid="5" name="MSIP_Label_334b5fd3-3c57-4dcf-b54e-12b80005a7c0_Name">
    <vt:lpwstr>General</vt:lpwstr>
  </property>
  <property fmtid="{D5CDD505-2E9C-101B-9397-08002B2CF9AE}" pid="6" name="MSIP_Label_334b5fd3-3c57-4dcf-b54e-12b80005a7c0_SiteId">
    <vt:lpwstr>8394aafa-3edd-43d8-b71b-2681a4a11804</vt:lpwstr>
  </property>
  <property fmtid="{D5CDD505-2E9C-101B-9397-08002B2CF9AE}" pid="7" name="MSIP_Label_334b5fd3-3c57-4dcf-b54e-12b80005a7c0_ActionId">
    <vt:lpwstr>f9283bba-b7b0-4a79-831d-e79977bc2ab1</vt:lpwstr>
  </property>
  <property fmtid="{D5CDD505-2E9C-101B-9397-08002B2CF9AE}" pid="8" name="MSIP_Label_334b5fd3-3c57-4dcf-b54e-12b80005a7c0_ContentBits">
    <vt:lpwstr>0</vt:lpwstr>
  </property>
</Properties>
</file>